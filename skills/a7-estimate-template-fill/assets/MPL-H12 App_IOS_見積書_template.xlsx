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表紙" sheetId="1" state="visible" r:id="rId3"/>
    <sheet name="Copy of 前提条件" sheetId="2" state="hidden" r:id="rId4"/>
    <sheet name="前提条件" sheetId="3" state="visible" r:id="rId5"/>
    <sheet name="見積書" sheetId="4" state="visible" r:id="rId6"/>
    <sheet name="見積明細書" sheetId="5" state="visible" r:id="rId7"/>
  </sheets>
  <definedNames>
    <definedName function="false" hidden="false" localSheetId="2" name="_xlnm.Print_Area" vbProcedure="false">前提条件!$A$1:$L$102</definedName>
    <definedName function="false" hidden="false" localSheetId="4" name="_xlnm.Print_Area" vbProcedure="false">見積明細書!$A$1:$H$105</definedName>
    <definedName function="false" hidden="false" localSheetId="3" name="_xlnm.Print_Area" vbProcedure="false">見積書!$A$1:$H$29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<sst xmlns="http://schemas.openxmlformats.org/spreadsheetml/2006/main" count="472" uniqueCount="308">
  <si>
    <t xml:space="preserve">システム開発受託チーム</t>
  </si>
  <si>
    <t xml:space="preserve">〒100-0001 東京都千代田区千代田1-1</t>
  </si>
  <si>
    <t xml:space="preserve">03-1234-5678</t>
  </si>
  <si>
    <t xml:space="preserve">御見積書</t>
  </si>
  <si>
    <t xml:space="preserve">法人向け契約・請求・入金管理システム</t>
  </si>
  <si>
    <t xml:space="preserve">バージョン</t>
  </si>
  <si>
    <t xml:space="preserve">日付</t>
  </si>
  <si>
    <t xml:space="preserve">作成者</t>
  </si>
  <si>
    <t xml:space="preserve">変更内容</t>
  </si>
  <si>
    <t xml:space="preserve">開発元</t>
  </si>
  <si>
    <t xml:space="preserve">新規作成</t>
  </si>
  <si>
    <t xml:space="preserve">見積前提条件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</si>
  <si>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DejaVu Sans"/>
        <family val="2"/>
        <charset val="1"/>
      </rPr>
      <t xml:space="preserve">1.</t>
    </r>
    <r>
      <rPr>
        <b val="true"/>
        <sz val="14"/>
        <color theme="1"/>
        <rFont val="DejaVu Sans"/>
        <family val="2"/>
      </rPr>
      <t xml:space="preserve">見積根拠】</t>
    </r>
  </si>
  <si>
    <t xml:space="preserve">・ここに示す見積もり前提から異なる場合、別途、お見積もりが必要となります。ご了承ください。</t>
  </si>
  <si>
    <t xml:space="preserve">・本見積もりは下記参考資料を基に作成しております。</t>
  </si>
  <si>
    <t xml:space="preserve">No.</t>
  </si>
  <si>
    <t xml:space="preserve">名称</t>
  </si>
  <si>
    <t xml:space="preserve">内容</t>
  </si>
  <si>
    <t xml:space="preserve">入手時期</t>
  </si>
  <si>
    <r>
      <rPr>
        <sz val="11"/>
        <color theme="1"/>
        <rFont val="Meiryo"/>
        <family val="2"/>
        <charset val="128"/>
      </rPr>
      <t xml:space="preserve">20231013</t>
    </r>
    <r>
      <rPr>
        <sz val="11"/>
        <color theme="1"/>
        <rFont val="DejaVu Sans"/>
        <family val="2"/>
      </rPr>
      <t xml:space="preserve">依頼案</t>
    </r>
    <r>
      <rPr>
        <sz val="11"/>
        <color theme="1"/>
        <rFont val="Meiryo"/>
        <family val="2"/>
        <charset val="128"/>
      </rPr>
      <t xml:space="preserve">.pdf</t>
    </r>
  </si>
  <si>
    <t xml:space="preserve">案件の概要資料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</si>
  <si>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DejaVu Sans"/>
        <family val="2"/>
        <charset val="1"/>
      </rPr>
      <t xml:space="preserve">2.</t>
    </r>
    <r>
      <rPr>
        <b val="true"/>
        <sz val="14"/>
        <color theme="1"/>
        <rFont val="DejaVu Sans"/>
        <family val="2"/>
      </rPr>
      <t xml:space="preserve">作業範囲】</t>
    </r>
  </si>
  <si>
    <t xml:space="preserve">・本見積もりは下記範囲の作業を対応します。</t>
  </si>
  <si>
    <r>
      <rPr>
        <sz val="11"/>
        <color theme="1"/>
        <rFont val="Meiryo"/>
        <family val="2"/>
        <charset val="128"/>
      </rPr>
      <t xml:space="preserve">1.</t>
    </r>
    <r>
      <rPr>
        <sz val="11"/>
        <color theme="1"/>
        <rFont val="DejaVu Sans"/>
        <family val="2"/>
      </rPr>
      <t xml:space="preserve">要件定義からいただいた内容を理解の上、</t>
    </r>
    <r>
      <rPr>
        <sz val="11"/>
        <color theme="1"/>
        <rFont val="Meiryo"/>
        <family val="2"/>
        <charset val="128"/>
      </rPr>
      <t xml:space="preserve">Q&amp;A</t>
    </r>
    <r>
      <rPr>
        <sz val="11"/>
        <color theme="1"/>
        <rFont val="DejaVu Sans"/>
        <family val="2"/>
      </rPr>
      <t xml:space="preserve">で要件を確認・分析します。</t>
    </r>
  </si>
  <si>
    <r>
      <rPr>
        <sz val="11"/>
        <color theme="1"/>
        <rFont val="Meiryo"/>
        <family val="2"/>
        <charset val="128"/>
      </rPr>
      <t xml:space="preserve">2.</t>
    </r>
    <r>
      <rPr>
        <sz val="11"/>
        <color theme="1"/>
        <rFont val="DejaVu Sans"/>
        <family val="2"/>
      </rPr>
      <t xml:space="preserve">詳細設計を作成します。</t>
    </r>
  </si>
  <si>
    <r>
      <rPr>
        <sz val="11"/>
        <color theme="1"/>
        <rFont val="Meiryo"/>
        <family val="2"/>
        <charset val="128"/>
      </rPr>
      <t xml:space="preserve">3.</t>
    </r>
    <r>
      <rPr>
        <sz val="11"/>
        <color theme="1"/>
        <rFont val="DejaVu Sans"/>
        <family val="2"/>
      </rPr>
      <t xml:space="preserve">各機能の製造を行います。</t>
    </r>
  </si>
  <si>
    <r>
      <rPr>
        <sz val="11"/>
        <color theme="1"/>
        <rFont val="Meiryo"/>
        <family val="2"/>
        <charset val="128"/>
      </rPr>
      <t xml:space="preserve">4.</t>
    </r>
    <r>
      <rPr>
        <sz val="11"/>
        <color theme="1"/>
        <rFont val="DejaVu Sans"/>
        <family val="2"/>
      </rPr>
      <t xml:space="preserve">単体テスト、および結合テストの項目書を作成し、テストを実施し、不具合を修正します。</t>
    </r>
  </si>
  <si>
    <r>
      <rPr>
        <sz val="11"/>
        <color theme="1"/>
        <rFont val="Meiryo"/>
        <family val="2"/>
        <charset val="128"/>
      </rPr>
      <t xml:space="preserve">5.</t>
    </r>
    <r>
      <rPr>
        <sz val="11"/>
        <color theme="1"/>
        <rFont val="DejaVu Sans"/>
        <family val="2"/>
      </rPr>
      <t xml:space="preserve">本番環境の構築と展開を行います。</t>
    </r>
  </si>
  <si>
    <r>
      <rPr>
        <sz val="11"/>
        <color theme="1"/>
        <rFont val="Meiryo"/>
        <family val="2"/>
        <charset val="128"/>
      </rPr>
      <t xml:space="preserve">6.</t>
    </r>
    <r>
      <rPr>
        <sz val="11"/>
        <color theme="1"/>
        <rFont val="DejaVu Sans"/>
        <family val="2"/>
      </rPr>
      <t xml:space="preserve">受入試験は、検収をいただき、弊社が不具合を修正いたします。</t>
    </r>
  </si>
  <si>
    <r>
      <rPr>
        <sz val="11"/>
        <color theme="1"/>
        <rFont val="Meiryo"/>
        <family val="2"/>
        <charset val="128"/>
      </rPr>
      <t xml:space="preserve">7.Q&amp;A</t>
    </r>
    <r>
      <rPr>
        <sz val="11"/>
        <color theme="1"/>
        <rFont val="DejaVu Sans"/>
        <family val="2"/>
      </rPr>
      <t xml:space="preserve">はファイルで管理し、</t>
    </r>
    <r>
      <rPr>
        <sz val="11"/>
        <color theme="1"/>
        <rFont val="Meiryo"/>
        <family val="2"/>
        <charset val="128"/>
      </rPr>
      <t xml:space="preserve">1</t>
    </r>
    <r>
      <rPr>
        <sz val="11"/>
        <color theme="1"/>
        <rFont val="DejaVu Sans"/>
        <family val="2"/>
      </rPr>
      <t xml:space="preserve">営業日以内にご回答いただく希望です。</t>
    </r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</si>
  <si>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DejaVu Sans"/>
        <family val="2"/>
        <charset val="1"/>
      </rPr>
      <t xml:space="preserve">3.</t>
    </r>
    <r>
      <rPr>
        <b val="true"/>
        <sz val="14"/>
        <color theme="1"/>
        <rFont val="DejaVu Sans"/>
        <family val="2"/>
      </rPr>
      <t xml:space="preserve">開発実現方法】</t>
    </r>
  </si>
  <si>
    <t xml:space="preserve">・下記の技術を使用して開発することをご提案します。</t>
  </si>
  <si>
    <t xml:space="preserve">カテゴリ</t>
  </si>
  <si>
    <t xml:space="preserve">開発言語・フレームワーク等</t>
  </si>
  <si>
    <t xml:space="preserve">備考</t>
  </si>
  <si>
    <t xml:space="preserve">バックエンド</t>
  </si>
  <si>
    <t xml:space="preserve">Ruby on Rails
Neo4j Graph Database</t>
  </si>
  <si>
    <t xml:space="preserve">フロントエンド</t>
  </si>
  <si>
    <t xml:space="preserve">d3js, ReactJS</t>
  </si>
  <si>
    <r>
      <rPr>
        <sz val="11"/>
        <color theme="1"/>
        <rFont val="Meiryo"/>
        <family val="2"/>
        <charset val="128"/>
      </rPr>
      <t xml:space="preserve">Server</t>
    </r>
    <r>
      <rPr>
        <sz val="11"/>
        <color theme="1"/>
        <rFont val="DejaVu Sans"/>
        <family val="2"/>
      </rPr>
      <t xml:space="preserve">の情報（デプロイ用）</t>
    </r>
  </si>
  <si>
    <t xml:space="preserve">AWS</t>
  </si>
  <si>
    <t xml:space="preserve">アカウントはお客様にご準備いただきます。</t>
  </si>
  <si>
    <r>
      <rPr>
        <b val="true"/>
        <sz val="11"/>
        <color rgb="FFFF0000"/>
        <rFont val="Meiryo"/>
        <family val="2"/>
        <charset val="128"/>
      </rPr>
      <t xml:space="preserve">※Neo4J &amp; 3D js &amp; Ruby on Rails</t>
    </r>
    <r>
      <rPr>
        <b val="true"/>
        <sz val="11"/>
        <color rgb="FFFF0000"/>
        <rFont val="DejaVu Sans"/>
        <family val="2"/>
      </rPr>
      <t xml:space="preserve">の 組み合わせのデモ
</t>
    </r>
  </si>
  <si>
    <t xml:space="preserve">https://my-neo4j-movies-app.herokuapp.com/</t>
  </si>
  <si>
    <t xml:space="preserve">    </t>
  </si>
  <si>
    <t xml:space="preserve">※システムフロー</t>
  </si>
  <si>
    <r>
      <rPr>
        <b val="true"/>
        <sz val="11"/>
        <color rgb="FFFF0000"/>
        <rFont val="Meiryo"/>
        <family val="2"/>
        <charset val="128"/>
      </rPr>
      <t xml:space="preserve">※Neo4j</t>
    </r>
    <r>
      <rPr>
        <b val="true"/>
        <sz val="11"/>
        <color rgb="FFFF0000"/>
        <rFont val="DejaVu Sans"/>
        <family val="2"/>
      </rPr>
      <t xml:space="preserve">について</t>
    </r>
  </si>
  <si>
    <r>
      <rPr>
        <sz val="11"/>
        <color theme="1"/>
        <rFont val="Meiryo"/>
        <family val="2"/>
        <charset val="128"/>
      </rPr>
      <t xml:space="preserve">Neo4j</t>
    </r>
    <r>
      <rPr>
        <sz val="11"/>
        <color theme="1"/>
        <rFont val="DejaVu Sans"/>
        <family val="2"/>
      </rPr>
      <t xml:space="preserve">はオープンソー </t>
    </r>
    <r>
      <rPr>
        <sz val="11"/>
        <color theme="1"/>
        <rFont val="Meiryo"/>
        <family val="2"/>
        <charset val="128"/>
      </rPr>
      <t xml:space="preserve">NoSQL</t>
    </r>
    <r>
      <rPr>
        <sz val="11"/>
        <color theme="1"/>
        <rFont val="DejaVu Sans"/>
        <family val="2"/>
      </rPr>
      <t xml:space="preserve">型グラフデータベースです。</t>
    </r>
  </si>
  <si>
    <r>
      <rPr>
        <sz val="11"/>
        <color theme="1"/>
        <rFont val="Meiryo"/>
        <family val="2"/>
        <charset val="128"/>
      </rPr>
      <t xml:space="preserve">Neo4j</t>
    </r>
    <r>
      <rPr>
        <sz val="11"/>
        <color theme="1"/>
        <rFont val="DejaVu Sans"/>
        <family val="2"/>
      </rPr>
      <t xml:space="preserve">には各種エディションがあり、</t>
    </r>
  </si>
  <si>
    <t xml:space="preserve">個人の趣味や小規模ビジネスで利用できる無償のコミュニティ・エディションと</t>
  </si>
  <si>
    <t xml:space="preserve">ミッションクリティカルな業務に対応し得るエンタープライズ・エディションがあります。</t>
  </si>
  <si>
    <t xml:space="preserve">・グラフデータベースのメリット</t>
  </si>
  <si>
    <t xml:space="preserve">リレーショナルデータベース</t>
  </si>
  <si>
    <t xml:space="preserve">グラフデータベース</t>
  </si>
  <si>
    <r>
      <rPr>
        <sz val="11"/>
        <color theme="1"/>
        <rFont val="DejaVu Sans"/>
        <family val="2"/>
      </rPr>
      <t xml:space="preserve">直感性</t>
    </r>
    <r>
      <rPr>
        <sz val="11"/>
        <color theme="1"/>
        <rFont val="DejaVu Sans"/>
        <family val="2"/>
        <charset val="1"/>
      </rPr>
      <t xml:space="preserve">	</t>
    </r>
  </si>
  <si>
    <r>
      <rPr>
        <sz val="11"/>
        <color theme="1"/>
        <rFont val="DejaVu Sans"/>
        <family val="2"/>
      </rPr>
      <t xml:space="preserve">直感的でない
</t>
    </r>
    <r>
      <rPr>
        <sz val="11"/>
        <color theme="1"/>
        <rFont val="DejaVu Sans"/>
        <family val="2"/>
        <charset val="1"/>
      </rPr>
      <t xml:space="preserve">Key</t>
    </r>
    <r>
      <rPr>
        <sz val="11"/>
        <color theme="1"/>
        <rFont val="DejaVu Sans"/>
        <family val="2"/>
      </rPr>
      <t xml:space="preserve">でテーブルを結合するという間接的な作業が必要</t>
    </r>
  </si>
  <si>
    <t xml:space="preserve">視覚的・直感的な操作ができる
メンテの効率化 → コスト削減</t>
  </si>
  <si>
    <t xml:space="preserve">コード量</t>
  </si>
  <si>
    <t xml:space="preserve">直感的な検索で、記述が少ない
開発コスト・開発時間の大幅削減</t>
  </si>
  <si>
    <t xml:space="preserve">検索速度</t>
  </si>
  <si>
    <t xml:space="preserve">遅い
テーブルの結合がボトルネック</t>
  </si>
  <si>
    <t xml:space="preserve">局所的に検索できるので、速い
バッチをリアルタイム化 → ロジックの単純化</t>
  </si>
  <si>
    <r>
      <rPr>
        <b val="true"/>
        <sz val="13"/>
        <color theme="1"/>
        <rFont val="DejaVu Sans"/>
        <family val="2"/>
      </rPr>
      <t xml:space="preserve">・</t>
    </r>
    <r>
      <rPr>
        <b val="true"/>
        <sz val="13"/>
        <color theme="1"/>
        <rFont val="DejaVu Sans"/>
        <family val="2"/>
        <charset val="1"/>
      </rPr>
      <t xml:space="preserve">Neo4j</t>
    </r>
    <r>
      <rPr>
        <b val="true"/>
        <sz val="13"/>
        <color theme="1"/>
        <rFont val="DejaVu Sans"/>
        <family val="2"/>
      </rPr>
      <t xml:space="preserve">のエディション比較表</t>
    </r>
  </si>
  <si>
    <t xml:space="preserve">エディション</t>
  </si>
  <si>
    <r>
      <rPr>
        <b val="true"/>
        <sz val="11"/>
        <color theme="1"/>
        <rFont val="DejaVu Sans"/>
        <family val="2"/>
      </rPr>
      <t xml:space="preserve">エンタープライズ版</t>
    </r>
    <r>
      <rPr>
        <b val="true"/>
        <sz val="11"/>
        <color theme="1"/>
        <rFont val="DejaVu Sans"/>
        <family val="2"/>
        <charset val="1"/>
      </rPr>
      <t xml:space="preserve">	</t>
    </r>
  </si>
  <si>
    <r>
      <rPr>
        <b val="true"/>
        <sz val="11"/>
        <color theme="1"/>
        <rFont val="DejaVu Sans"/>
        <family val="2"/>
      </rPr>
      <t xml:space="preserve">コミュニティ版</t>
    </r>
    <r>
      <rPr>
        <b val="true"/>
        <sz val="11"/>
        <color theme="1"/>
        <rFont val="DejaVu Sans"/>
        <family val="2"/>
        <charset val="1"/>
      </rPr>
      <t xml:space="preserve">
</t>
    </r>
  </si>
  <si>
    <t xml:space="preserve">プロパティ・グラフ・モデル        </t>
  </si>
  <si>
    <t xml:space="preserve">〇</t>
  </si>
  <si>
    <t xml:space="preserve">ネイティブ・グラフプロセシング＆ストレージ        </t>
  </si>
  <si>
    <r>
      <rPr>
        <sz val="11"/>
        <color theme="1"/>
        <rFont val="Meiryo"/>
        <family val="2"/>
        <charset val="128"/>
      </rPr>
      <t xml:space="preserve">ACID</t>
    </r>
    <r>
      <rPr>
        <sz val="11"/>
        <color theme="1"/>
        <rFont val="DejaVu Sans"/>
        <family val="2"/>
      </rPr>
      <t xml:space="preserve">準拠（トランザクションの信頼性保証）        </t>
    </r>
  </si>
  <si>
    <r>
      <rPr>
        <sz val="11"/>
        <color theme="1"/>
        <rFont val="Meiryo"/>
        <family val="2"/>
        <charset val="128"/>
      </rPr>
      <t xml:space="preserve">Cypher Query</t>
    </r>
    <r>
      <rPr>
        <sz val="11"/>
        <color theme="1"/>
        <rFont val="DejaVu Sans"/>
        <family val="2"/>
      </rPr>
      <t xml:space="preserve">言語        </t>
    </r>
  </si>
  <si>
    <r>
      <rPr>
        <sz val="11"/>
        <color theme="1"/>
        <rFont val="DejaVu Sans"/>
        <family val="2"/>
      </rPr>
      <t xml:space="preserve">ドライバ・サポート</t>
    </r>
    <r>
      <rPr>
        <sz val="11"/>
        <color theme="1"/>
        <rFont val="DejaVu Sans"/>
        <family val="2"/>
        <charset val="1"/>
      </rPr>
      <t xml:space="preserve">	</t>
    </r>
  </si>
  <si>
    <r>
      <rPr>
        <sz val="11"/>
        <color theme="1"/>
        <rFont val="Meiryo"/>
        <family val="2"/>
        <charset val="128"/>
      </rPr>
      <t xml:space="preserve">Neo</t>
    </r>
    <r>
      <rPr>
        <sz val="11"/>
        <color theme="1"/>
        <rFont val="DejaVu Sans"/>
        <family val="2"/>
      </rPr>
      <t xml:space="preserve">社オフィシャルサポート</t>
    </r>
    <r>
      <rPr>
        <sz val="11"/>
        <color theme="1"/>
        <rFont val="Meiryo"/>
        <family val="2"/>
        <charset val="128"/>
      </rPr>
      <t xml:space="preserve">
.Net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Java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JavaScript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Python
</t>
    </r>
    <r>
      <rPr>
        <sz val="11"/>
        <color theme="1"/>
        <rFont val="DejaVu Sans"/>
        <family val="2"/>
      </rPr>
      <t xml:space="preserve">コミュニティによる開発</t>
    </r>
    <r>
      <rPr>
        <sz val="11"/>
        <color theme="1"/>
        <rFont val="Meiryo"/>
        <family val="2"/>
        <charset val="128"/>
      </rPr>
      <t xml:space="preserve">
Spring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Ruby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PHP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R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Go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
Erlang / Elixir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C / C++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
Clojure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Perl</t>
    </r>
    <r>
      <rPr>
        <sz val="11"/>
        <color theme="1"/>
        <rFont val="DejaVu Sans"/>
        <family val="2"/>
      </rPr>
      <t xml:space="preserve">、</t>
    </r>
    <r>
      <rPr>
        <sz val="11"/>
        <color theme="1"/>
        <rFont val="Meiryo"/>
        <family val="2"/>
        <charset val="128"/>
      </rPr>
      <t xml:space="preserve">Haskell</t>
    </r>
  </si>
  <si>
    <t xml:space="preserve">REST API	</t>
  </si>
  <si>
    <t xml:space="preserve">High-Performance Native API	</t>
  </si>
  <si>
    <r>
      <rPr>
        <sz val="11"/>
        <color theme="1"/>
        <rFont val="Meiryo"/>
        <family val="2"/>
        <charset val="128"/>
      </rPr>
      <t xml:space="preserve">HTTPS</t>
    </r>
    <r>
      <rPr>
        <sz val="11"/>
        <color theme="1"/>
        <rFont val="DejaVu Sans"/>
        <family val="2"/>
      </rPr>
      <t xml:space="preserve">（</t>
    </r>
    <r>
      <rPr>
        <sz val="11"/>
        <color theme="1"/>
        <rFont val="Meiryo"/>
        <family val="2"/>
        <charset val="128"/>
      </rPr>
      <t xml:space="preserve">via Plug-in</t>
    </r>
    <r>
      <rPr>
        <sz val="11"/>
        <color theme="1"/>
        <rFont val="DejaVu Sans"/>
        <family val="2"/>
      </rPr>
      <t xml:space="preserve">）</t>
    </r>
    <r>
      <rPr>
        <sz val="11"/>
        <color theme="1"/>
        <rFont val="Meiryo"/>
        <family val="2"/>
        <charset val="128"/>
      </rPr>
      <t xml:space="preserve">	</t>
    </r>
  </si>
  <si>
    <r>
      <rPr>
        <sz val="11"/>
        <color theme="1"/>
        <rFont val="DejaVu Sans"/>
        <family val="2"/>
      </rPr>
      <t xml:space="preserve">エンタープライズロックマネージャー</t>
    </r>
    <r>
      <rPr>
        <sz val="11"/>
        <color theme="1"/>
        <rFont val="DejaVu Sans"/>
        <family val="2"/>
        <charset val="1"/>
      </rPr>
      <t xml:space="preserve">	</t>
    </r>
  </si>
  <si>
    <t xml:space="preserve">×</t>
  </si>
  <si>
    <r>
      <rPr>
        <sz val="11"/>
        <color theme="1"/>
        <rFont val="DejaVu Sans"/>
        <family val="2"/>
      </rPr>
      <t xml:space="preserve">キャッシュ・シャーディング</t>
    </r>
    <r>
      <rPr>
        <sz val="11"/>
        <color theme="1"/>
        <rFont val="DejaVu Sans"/>
        <family val="2"/>
        <charset val="1"/>
      </rPr>
      <t xml:space="preserve">	</t>
    </r>
  </si>
  <si>
    <t xml:space="preserve">クラスター冗長化        </t>
  </si>
  <si>
    <r>
      <rPr>
        <sz val="11"/>
        <color theme="1"/>
        <rFont val="Meiryo"/>
        <family val="2"/>
        <charset val="128"/>
      </rPr>
      <t xml:space="preserve">Cypher Query</t>
    </r>
    <r>
      <rPr>
        <sz val="11"/>
        <color theme="1"/>
        <rFont val="DejaVu Sans"/>
        <family val="2"/>
      </rPr>
      <t xml:space="preserve">トレース        </t>
    </r>
  </si>
  <si>
    <t xml:space="preserve">Property Existence Constraints	</t>
  </si>
  <si>
    <r>
      <rPr>
        <sz val="11"/>
        <color theme="1"/>
        <rFont val="DejaVu Sans"/>
        <family val="2"/>
      </rPr>
      <t xml:space="preserve">ホットバックアップ</t>
    </r>
    <r>
      <rPr>
        <sz val="11"/>
        <color theme="1"/>
        <rFont val="DejaVu Sans"/>
        <family val="2"/>
        <charset val="1"/>
      </rPr>
      <t xml:space="preserve">	</t>
    </r>
  </si>
  <si>
    <r>
      <rPr>
        <sz val="11"/>
        <color theme="1"/>
        <rFont val="DejaVu Sans"/>
        <family val="2"/>
      </rPr>
      <t xml:space="preserve">アドバンスト・モニタリング</t>
    </r>
    <r>
      <rPr>
        <sz val="11"/>
        <color theme="1"/>
        <rFont val="DejaVu Sans"/>
        <family val="2"/>
        <charset val="1"/>
      </rPr>
      <t xml:space="preserve">	</t>
    </r>
  </si>
  <si>
    <t xml:space="preserve">オープンソース</t>
  </si>
  <si>
    <t xml:space="preserve">グラフサイズリミット</t>
  </si>
  <si>
    <t xml:space="preserve">無制限</t>
  </si>
  <si>
    <r>
      <rPr>
        <sz val="11"/>
        <color theme="1"/>
        <rFont val="Meiryo"/>
        <family val="2"/>
        <charset val="128"/>
      </rPr>
      <t xml:space="preserve">34</t>
    </r>
    <r>
      <rPr>
        <sz val="11"/>
        <color theme="1"/>
        <rFont val="DejaVu Sans"/>
        <family val="2"/>
      </rPr>
      <t xml:space="preserve">億ノード</t>
    </r>
  </si>
  <si>
    <t xml:space="preserve">詳細の仕様はこちらのリンクをご参照いただければと思います -&gt; https://neo4j.com/pricing/#graph-database</t>
  </si>
  <si>
    <r>
      <rPr>
        <b val="true"/>
        <sz val="11"/>
        <color rgb="FFFF0000"/>
        <rFont val="Meiryo"/>
        <family val="2"/>
        <charset val="128"/>
      </rPr>
      <t xml:space="preserve">※AWS</t>
    </r>
    <r>
      <rPr>
        <b val="true"/>
        <sz val="11"/>
        <color rgb="FFFF0000"/>
        <rFont val="DejaVu Sans"/>
        <family val="2"/>
      </rPr>
      <t xml:space="preserve">のアーキテクチャ</t>
    </r>
  </si>
  <si>
    <t xml:space="preserve">期間</t>
  </si>
  <si>
    <t xml:space="preserve">サービス</t>
  </si>
  <si>
    <t xml:space="preserve">固定コスト</t>
  </si>
  <si>
    <t xml:space="preserve">毎月</t>
  </si>
  <si>
    <t xml:space="preserve">Domain, route 53</t>
  </si>
  <si>
    <t xml:space="preserve">1 domain .jp</t>
  </si>
  <si>
    <t xml:space="preserve">Backend Server</t>
  </si>
  <si>
    <t xml:space="preserve">2 EC2 t2.small</t>
  </si>
  <si>
    <t xml:space="preserve">ELB  (Elastic Load Balancing)</t>
  </si>
  <si>
    <t xml:space="preserve">1 ALB</t>
  </si>
  <si>
    <t xml:space="preserve">GraphDB Server</t>
  </si>
  <si>
    <t xml:space="preserve">1 DB.t2.small</t>
  </si>
  <si>
    <t xml:space="preserve">SES  (Simple Email Service)</t>
  </si>
  <si>
    <t xml:space="preserve">10000 email</t>
  </si>
  <si>
    <t xml:space="preserve">S3 (Simple Storage Service)</t>
  </si>
  <si>
    <t xml:space="preserve">WAF  (Web Application Firewall)</t>
  </si>
  <si>
    <t xml:space="preserve">Cloud Watch</t>
  </si>
  <si>
    <t xml:space="preserve">合計 </t>
  </si>
  <si>
    <t xml:space="preserve">※上記は参考のコストですが、実際のコストは利用するサービスと利用期間による</t>
  </si>
  <si>
    <r>
      <rPr>
        <b val="true"/>
        <sz val="11"/>
        <color rgb="FFFF0000"/>
        <rFont val="DejaVu Sans"/>
        <family val="2"/>
      </rPr>
      <t xml:space="preserve">参考</t>
    </r>
    <r>
      <rPr>
        <b val="true"/>
        <sz val="11"/>
        <color rgb="FFFF0000"/>
        <rFont val="DejaVu Sans"/>
        <family val="2"/>
        <charset val="1"/>
      </rPr>
      <t xml:space="preserve">URL</t>
    </r>
    <r>
      <rPr>
        <b val="true"/>
        <sz val="11"/>
        <color rgb="FFFF0000"/>
        <rFont val="DejaVu Sans"/>
        <family val="2"/>
      </rPr>
      <t xml:space="preserve">： </t>
    </r>
  </si>
  <si>
    <t xml:space="preserve">https://d32ze2gidvkk54.cloudfront.net/Amazon_Route_53_Domain_Registration_Pricing_20140731.pdf</t>
  </si>
  <si>
    <t xml:space="preserve">https://calculator.aws/#/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</si>
  <si>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DejaVu Sans"/>
        <family val="2"/>
        <charset val="1"/>
      </rPr>
      <t xml:space="preserve">4.</t>
    </r>
    <r>
      <rPr>
        <b val="true"/>
        <sz val="14"/>
        <color theme="1"/>
        <rFont val="DejaVu Sans"/>
        <family val="2"/>
      </rPr>
      <t xml:space="preserve">テスト】</t>
    </r>
  </si>
  <si>
    <t xml:space="preserve">・下記環境にて単体テストを実施します。</t>
  </si>
  <si>
    <t xml:space="preserve">OS</t>
  </si>
  <si>
    <t xml:space="preserve">ブラウザ</t>
  </si>
  <si>
    <t xml:space="preserve">Windows 10</t>
  </si>
  <si>
    <r>
      <rPr>
        <sz val="11"/>
        <color theme="1"/>
        <rFont val="Meiryo"/>
        <family val="2"/>
        <charset val="128"/>
      </rPr>
      <t xml:space="preserve">Google Chrome (</t>
    </r>
    <r>
      <rPr>
        <sz val="11"/>
        <color theme="1"/>
        <rFont val="DejaVu Sans"/>
        <family val="2"/>
      </rPr>
      <t xml:space="preserve">最新版</t>
    </r>
    <r>
      <rPr>
        <sz val="11"/>
        <color theme="1"/>
        <rFont val="Meiryo"/>
        <family val="2"/>
        <charset val="128"/>
      </rPr>
      <t xml:space="preserve">)</t>
    </r>
  </si>
  <si>
    <r>
      <rPr>
        <sz val="11"/>
        <color theme="1"/>
        <rFont val="Meiryo"/>
        <family val="2"/>
        <charset val="128"/>
      </rPr>
      <t xml:space="preserve">Microsoft Edge (</t>
    </r>
    <r>
      <rPr>
        <sz val="11"/>
        <color theme="1"/>
        <rFont val="DejaVu Sans"/>
        <family val="2"/>
      </rPr>
      <t xml:space="preserve">最新版</t>
    </r>
    <r>
      <rPr>
        <sz val="11"/>
        <color theme="1"/>
        <rFont val="Meiryo"/>
        <family val="2"/>
        <charset val="128"/>
      </rPr>
      <t xml:space="preserve">)</t>
    </r>
  </si>
  <si>
    <t xml:space="preserve">※レイアウト確認、正常系の動作確認のみ</t>
  </si>
  <si>
    <t xml:space="preserve">MacOS 10.14</t>
  </si>
  <si>
    <t xml:space="preserve">Safari</t>
  </si>
  <si>
    <t xml:space="preserve">最新バージョン</t>
  </si>
  <si>
    <t xml:space="preserve">※上記の表より多くの環境でテストするご要望がありましたら、テスト工数の見直しとさせていただきます。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</si>
  <si>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DejaVu Sans"/>
        <family val="2"/>
        <charset val="1"/>
      </rPr>
      <t xml:space="preserve">5.</t>
    </r>
    <r>
      <rPr>
        <b val="true"/>
        <sz val="14"/>
        <color theme="1"/>
        <rFont val="DejaVu Sans"/>
        <family val="2"/>
      </rPr>
      <t xml:space="preserve">マスタスケジュール（案）】　</t>
    </r>
  </si>
  <si>
    <t xml:space="preserve">※スケジュールについてのご要望（対応期間など）があれば、ご相談ください。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</si>
  <si>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DejaVu Sans"/>
        <family val="2"/>
        <charset val="1"/>
      </rPr>
      <t xml:space="preserve">6.</t>
    </r>
    <r>
      <rPr>
        <b val="true"/>
        <sz val="14"/>
        <color theme="1"/>
        <rFont val="DejaVu Sans"/>
        <family val="2"/>
      </rPr>
      <t xml:space="preserve">体制構成図（案）】　</t>
    </r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</si>
  <si>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DejaVu Sans"/>
        <family val="2"/>
        <charset val="1"/>
      </rPr>
      <t xml:space="preserve">7.</t>
    </r>
    <r>
      <rPr>
        <b val="true"/>
        <sz val="14"/>
        <color theme="1"/>
        <rFont val="DejaVu Sans"/>
        <family val="2"/>
      </rPr>
      <t xml:space="preserve">納品物】　</t>
    </r>
  </si>
  <si>
    <t xml:space="preserve">・本開発では下記一覧内のドキュメント及びソースコードを成果物とします。</t>
  </si>
  <si>
    <t xml:space="preserve">■成果物一覧</t>
  </si>
  <si>
    <t xml:space="preserve">概要</t>
  </si>
  <si>
    <t xml:space="preserve">詳細設計書</t>
  </si>
  <si>
    <r>
      <rPr>
        <sz val="11"/>
        <color theme="1"/>
        <rFont val="Meiryo"/>
        <family val="2"/>
        <charset val="128"/>
      </rPr>
      <t xml:space="preserve">API</t>
    </r>
    <r>
      <rPr>
        <sz val="11"/>
        <color theme="1"/>
        <rFont val="DejaVu Sans"/>
        <family val="2"/>
      </rPr>
      <t xml:space="preserve">詳細設計書、画面細設計書、データベース設計</t>
    </r>
  </si>
  <si>
    <t xml:space="preserve">ソースコード一式</t>
  </si>
  <si>
    <t xml:space="preserve">結合テスト項目書・結果報告書</t>
  </si>
  <si>
    <t xml:space="preserve">※工数削減のため、エビデンス画像は取得しない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</si>
  <si>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DejaVu Sans"/>
        <family val="2"/>
        <charset val="1"/>
      </rPr>
      <t xml:space="preserve">8.</t>
    </r>
    <r>
      <rPr>
        <b val="true"/>
        <sz val="14"/>
        <color theme="1"/>
        <rFont val="DejaVu Sans"/>
        <family val="2"/>
      </rPr>
      <t xml:space="preserve">その他】　</t>
    </r>
  </si>
  <si>
    <t xml:space="preserve">・本見積もりにランニングコストは含まれておりません。ランニングコストはお客様のご負担でお願いいたします。</t>
  </si>
  <si>
    <t xml:space="preserve">・本見積に運用・保守コストは含まれておりません。</t>
  </si>
  <si>
    <t xml:space="preserve">・見積明細書に記載されているもの以外の機能が必要な場合は、改めてお見積りしてご提案させていただきます。</t>
  </si>
  <si>
    <r>
      <rPr>
        <sz val="11"/>
        <color theme="1"/>
        <rFont val="DejaVu Sans"/>
        <family val="2"/>
      </rPr>
      <t xml:space="preserve">・</t>
    </r>
    <r>
      <rPr>
        <sz val="11"/>
        <color theme="1"/>
        <rFont val="DejaVu Sans"/>
        <family val="2"/>
        <charset val="1"/>
      </rPr>
      <t xml:space="preserve">Q&amp;A</t>
    </r>
    <r>
      <rPr>
        <sz val="11"/>
        <color theme="1"/>
        <rFont val="DejaVu Sans"/>
        <family val="2"/>
      </rPr>
      <t xml:space="preserve">は、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営業日以内にご回答いただく希望です。</t>
    </r>
  </si>
  <si>
    <r>
      <rPr>
        <sz val="11"/>
        <color theme="1"/>
        <rFont val="DejaVu Sans"/>
        <family val="2"/>
      </rPr>
      <t xml:space="preserve">・納品後、</t>
    </r>
    <r>
      <rPr>
        <sz val="11"/>
        <color theme="1"/>
        <rFont val="DejaVu Sans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週間（</t>
    </r>
    <r>
      <rPr>
        <sz val="11"/>
        <color theme="1"/>
        <rFont val="DejaVu Sans"/>
        <family val="2"/>
        <charset val="1"/>
      </rPr>
      <t xml:space="preserve">14</t>
    </r>
    <r>
      <rPr>
        <sz val="11"/>
        <color theme="1"/>
        <rFont val="DejaVu Sans"/>
        <family val="2"/>
      </rPr>
      <t xml:space="preserve">日）以内に検収をお願いします。</t>
    </r>
  </si>
  <si>
    <r>
      <rPr>
        <sz val="11"/>
        <color theme="1"/>
        <rFont val="DejaVu Sans"/>
        <family val="2"/>
      </rPr>
      <t xml:space="preserve">・</t>
    </r>
    <r>
      <rPr>
        <sz val="11"/>
        <color theme="1"/>
        <rFont val="DejaVu Sans"/>
        <family val="2"/>
        <charset val="1"/>
      </rPr>
      <t xml:space="preserve">Server</t>
    </r>
    <r>
      <rPr>
        <sz val="11"/>
        <color theme="1"/>
        <rFont val="DejaVu Sans"/>
        <family val="2"/>
      </rPr>
      <t xml:space="preserve">の情報（デプロイ用）のアカウントは御社から提供します。</t>
    </r>
  </si>
  <si>
    <t xml:space="preserve">・前提条件を満たさない場合は、再度お見積りさせていただきます。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</si>
  <si>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Meiryo UI"/>
        <family val="2"/>
        <charset val="128"/>
      </rPr>
      <t xml:space="preserve">1.</t>
    </r>
    <r>
      <rPr>
        <b val="true"/>
        <sz val="14"/>
        <color theme="1"/>
        <rFont val="DejaVu Sans"/>
        <family val="2"/>
      </rPr>
      <t xml:space="preserve">見積根拠】</t>
    </r>
  </si>
  <si>
    <t xml:space="preserve">お客様要件仕様書・要求事項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</si>
  <si>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Meiryo UI"/>
        <family val="2"/>
        <charset val="128"/>
      </rPr>
      <t xml:space="preserve">2.</t>
    </r>
    <r>
      <rPr>
        <b val="true"/>
        <sz val="14"/>
        <color theme="1"/>
        <rFont val="DejaVu Sans"/>
        <family val="2"/>
      </rPr>
      <t xml:space="preserve">作業範囲】</t>
    </r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</si>
  <si>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Meiryo UI"/>
        <family val="2"/>
        <charset val="128"/>
      </rPr>
      <t xml:space="preserve">3.</t>
    </r>
    <r>
      <rPr>
        <b val="true"/>
        <sz val="14"/>
        <color theme="1"/>
        <rFont val="DejaVu Sans"/>
        <family val="2"/>
      </rPr>
      <t xml:space="preserve">開発実現方法】</t>
    </r>
  </si>
  <si>
    <t xml:space="preserve">項目</t>
  </si>
  <si>
    <t xml:space="preserve">実施方式・対応方針</t>
  </si>
  <si>
    <t xml:space="preserve">備考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</si>
  <si>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Meiryo UI"/>
        <family val="2"/>
        <charset val="128"/>
      </rPr>
      <t xml:space="preserve">4.</t>
    </r>
    <r>
      <rPr>
        <b val="true"/>
        <sz val="14"/>
        <color theme="1"/>
        <rFont val="DejaVu Sans"/>
        <family val="2"/>
      </rPr>
      <t xml:space="preserve">テスト】</t>
    </r>
  </si>
  <si>
    <t xml:space="preserve">テスト項目</t>
  </si>
  <si>
    <t xml:space="preserve">確認内容</t>
  </si>
  <si>
    <t xml:space="preserve">※複数環境での検証や上記スコープ外のテストケース追加が必要な場合は、別途テスト工数を精算・再見積りいたします。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</si>
  <si>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Meiryo UI"/>
        <family val="2"/>
        <charset val="128"/>
      </rPr>
      <t xml:space="preserve">5.</t>
    </r>
    <r>
      <rPr>
        <b val="true"/>
        <sz val="14"/>
        <color theme="1"/>
        <rFont val="DejaVu Sans"/>
        <family val="2"/>
      </rPr>
      <t xml:space="preserve">マスタスケジュール（案）】　</t>
    </r>
  </si>
  <si>
    <t xml:space="preserve">...</t>
  </si>
  <si>
    <r>
      <rPr>
        <b val="true"/>
        <sz val="11"/>
        <color rgb="FFFFFFFF"/>
        <rFont val="DejaVu Sans"/>
        <family val="2"/>
      </rPr>
      <t xml:space="preserve">第</t>
    </r>
    <r>
      <rPr>
        <b val="true"/>
        <sz val="11"/>
        <color rgb="FFFFFFFF"/>
        <rFont val="Meiryo UI"/>
        <family val="2"/>
        <charset val="128"/>
      </rPr>
      <t xml:space="preserve">1+</t>
    </r>
    <r>
      <rPr>
        <b val="true"/>
        <sz val="11"/>
        <color rgb="FFFFFFFF"/>
        <rFont val="DejaVu Sans"/>
        <family val="2"/>
      </rPr>
      <t xml:space="preserve">第</t>
    </r>
    <r>
      <rPr>
        <b val="true"/>
        <sz val="11"/>
        <color rgb="FFFFFFFF"/>
        <rFont val="Meiryo UI"/>
        <family val="2"/>
        <charset val="128"/>
      </rPr>
      <t xml:space="preserve">2</t>
    </r>
  </si>
  <si>
    <r>
      <rPr>
        <b val="true"/>
        <sz val="11"/>
        <color rgb="FFFFFFFF"/>
        <rFont val="DejaVu Sans"/>
        <family val="2"/>
      </rPr>
      <t xml:space="preserve">第</t>
    </r>
    <r>
      <rPr>
        <b val="true"/>
        <sz val="11"/>
        <color rgb="FFFFFFFF"/>
        <rFont val="Meiryo UI"/>
        <family val="2"/>
        <charset val="128"/>
      </rPr>
      <t xml:space="preserve">3+</t>
    </r>
    <r>
      <rPr>
        <b val="true"/>
        <sz val="11"/>
        <color rgb="FFFFFFFF"/>
        <rFont val="DejaVu Sans"/>
        <family val="2"/>
      </rPr>
      <t xml:space="preserve">第</t>
    </r>
    <r>
      <rPr>
        <b val="true"/>
        <sz val="11"/>
        <color rgb="FFFFFFFF"/>
        <rFont val="Meiryo UI"/>
        <family val="2"/>
        <charset val="128"/>
      </rPr>
      <t xml:space="preserve">4</t>
    </r>
  </si>
  <si>
    <t xml:space="preserve">事前準備</t>
  </si>
  <si>
    <t xml:space="preserve">基盤構築</t>
  </si>
  <si>
    <t xml:space="preserve">設定・調査</t>
  </si>
  <si>
    <t xml:space="preserve">テスト</t>
  </si>
  <si>
    <t xml:space="preserve">受入テスト</t>
  </si>
  <si>
    <t xml:space="preserve">開発元の対応</t>
  </si>
  <si>
    <r>
      <rPr>
        <sz val="10"/>
        <color rgb="FF000000"/>
        <rFont val="Meiryo UI"/>
        <family val="2"/>
        <charset val="128"/>
      </rPr>
      <t xml:space="preserve">UserSide</t>
    </r>
    <r>
      <rPr>
        <sz val="10"/>
        <color rgb="FF000000"/>
        <rFont val="DejaVu Sans"/>
        <family val="2"/>
      </rPr>
      <t xml:space="preserve">様がテスト実施、開発元が指摘より対応</t>
    </r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</si>
  <si>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Meiryo UI"/>
        <family val="2"/>
        <charset val="128"/>
      </rPr>
      <t xml:space="preserve">6.</t>
    </r>
    <r>
      <rPr>
        <b val="true"/>
        <sz val="14"/>
        <color theme="1"/>
        <rFont val="DejaVu Sans"/>
        <family val="2"/>
      </rPr>
      <t xml:space="preserve">体制構成図（案）】　</t>
    </r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</si>
  <si>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Meiryo UI"/>
        <family val="2"/>
        <charset val="128"/>
      </rPr>
      <t xml:space="preserve">7.</t>
    </r>
    <r>
      <rPr>
        <b val="true"/>
        <sz val="14"/>
        <color theme="1"/>
        <rFont val="DejaVu Sans"/>
        <family val="2"/>
      </rPr>
      <t xml:space="preserve">納品物】　</t>
    </r>
  </si>
  <si>
    <t xml:space="preserve">本スコープにおける納品成果物（ドキュメントおよび設定一式）は以下の通りです。</t>
  </si>
  <si>
    <t xml:space="preserve">■納品成果物一覧</t>
  </si>
  <si>
    <t xml:space="preserve">成果物名称</t>
  </si>
  <si>
    <t xml:space="preserve">概要・詳細</t>
  </si>
  <si>
    <r>
      <rPr>
        <b val="true"/>
        <sz val="14"/>
        <color theme="1"/>
        <rFont val="DejaVu Sans"/>
        <family val="2"/>
      </rPr>
      <t xml:space="preserve">【</t>
    </r>
    <r>
      <rPr>
        <b val="true"/>
        <sz val="14"/>
        <color theme="1"/>
        <rFont val="Meiryo UI"/>
        <family val="2"/>
        <charset val="128"/>
      </rPr>
      <t xml:space="preserve">8.</t>
    </r>
    <r>
      <rPr>
        <b val="true"/>
        <sz val="14"/>
        <color theme="1"/>
        <rFont val="DejaVu Sans"/>
        <family val="2"/>
      </rPr>
      <t xml:space="preserve">その他】　</t>
    </r>
  </si>
  <si>
    <t xml:space="preserve">この見積は下記の前提条件に基づきます。</t>
  </si>
  <si>
    <t xml:space="preserve">・見積明細書に記載されているもの以外の機能が必要な場合は、改めて見積りさせていただきます。</t>
  </si>
  <si>
    <r>
      <rPr>
        <sz val="11"/>
        <color theme="1"/>
        <rFont val="DejaVu Sans"/>
        <family val="2"/>
      </rPr>
      <t xml:space="preserve">・</t>
    </r>
    <r>
      <rPr>
        <sz val="11"/>
        <color theme="1"/>
        <rFont val="Meiryo UI"/>
        <family val="2"/>
        <charset val="128"/>
      </rPr>
      <t xml:space="preserve">Q&amp;A</t>
    </r>
    <r>
      <rPr>
        <sz val="11"/>
        <color theme="1"/>
        <rFont val="DejaVu Sans"/>
        <family val="2"/>
      </rPr>
      <t xml:space="preserve">は、</t>
    </r>
    <r>
      <rPr>
        <sz val="11"/>
        <color theme="1"/>
        <rFont val="Meiryo UI"/>
        <family val="2"/>
        <charset val="128"/>
      </rPr>
      <t xml:space="preserve">2</t>
    </r>
    <r>
      <rPr>
        <sz val="11"/>
        <color theme="1"/>
        <rFont val="DejaVu Sans"/>
        <family val="2"/>
      </rPr>
      <t xml:space="preserve">営業日以内のご回答をお願いいたします。</t>
    </r>
  </si>
  <si>
    <r>
      <rPr>
        <sz val="11"/>
        <color theme="1"/>
        <rFont val="DejaVu Sans"/>
        <family val="2"/>
      </rPr>
      <t xml:space="preserve">・納品後、</t>
    </r>
    <r>
      <rPr>
        <sz val="11"/>
        <color theme="1"/>
        <rFont val="Meiryo UI"/>
        <family val="2"/>
        <charset val="128"/>
      </rPr>
      <t xml:space="preserve">14</t>
    </r>
    <r>
      <rPr>
        <sz val="11"/>
        <color theme="1"/>
        <rFont val="DejaVu Sans"/>
        <family val="2"/>
      </rPr>
      <t xml:space="preserve">営業日以内に検収をお願いします。</t>
    </r>
  </si>
  <si>
    <t xml:space="preserve">・前提条件を満たさない場合は、再度お見積りをさせていただく場合がございます。</t>
  </si>
  <si>
    <t xml:space="preserve">工数見積</t>
  </si>
  <si>
    <t xml:space="preserve">No</t>
  </si>
  <si>
    <t xml:space="preserve">項目</t>
  </si>
  <si>
    <t xml:space="preserve">単価（円）</t>
  </si>
  <si>
    <t xml:space="preserve">工数</t>
  </si>
  <si>
    <t xml:space="preserve">単位</t>
  </si>
  <si>
    <t xml:space="preserve">人月</t>
  </si>
  <si>
    <t xml:space="preserve">総合計</t>
  </si>
  <si>
    <t xml:space="preserve">コスト</t>
  </si>
  <si>
    <t xml:space="preserve">金額</t>
  </si>
  <si>
    <r>
      <rPr>
        <sz val="11"/>
        <color theme="1"/>
        <rFont val="DejaVu Sans"/>
        <family val="2"/>
      </rPr>
      <t xml:space="preserve">小計（工数</t>
    </r>
    <r>
      <rPr>
        <sz val="11"/>
        <color theme="1"/>
        <rFont val="Meiryo UI"/>
        <family val="2"/>
        <charset val="128"/>
      </rPr>
      <t xml:space="preserve">×</t>
    </r>
    <r>
      <rPr>
        <sz val="11"/>
        <color theme="1"/>
        <rFont val="DejaVu Sans"/>
        <family val="2"/>
      </rPr>
      <t xml:space="preserve">単価）（税別）</t>
    </r>
  </si>
  <si>
    <t xml:space="preserve">円</t>
  </si>
  <si>
    <r>
      <rPr>
        <sz val="11"/>
        <color theme="1"/>
        <rFont val="DejaVu Sans"/>
        <family val="2"/>
      </rPr>
      <t xml:space="preserve">税金（</t>
    </r>
    <r>
      <rPr>
        <sz val="11"/>
        <color theme="1"/>
        <rFont val="Meiryo UI"/>
        <family val="2"/>
        <charset val="128"/>
      </rPr>
      <t xml:space="preserve">10%</t>
    </r>
    <r>
      <rPr>
        <sz val="11"/>
        <color theme="1"/>
        <rFont val="DejaVu Sans"/>
        <family val="2"/>
      </rPr>
      <t xml:space="preserve">）</t>
    </r>
  </si>
  <si>
    <t xml:space="preserve">コスト（税込）</t>
  </si>
  <si>
    <t xml:space="preserve">御見積詳細書</t>
  </si>
  <si>
    <t xml:space="preserve">開発</t>
  </si>
  <si>
    <t xml:space="preserve">機能</t>
  </si>
  <si>
    <t xml:space="preserve">機能詳細</t>
  </si>
  <si>
    <t xml:space="preserve">単体テスト</t>
  </si>
  <si>
    <t xml:space="preserve">コードレビュー</t>
  </si>
  <si>
    <r>
      <rPr>
        <b val="true"/>
        <sz val="10"/>
        <color theme="1"/>
        <rFont val="DejaVu Sans"/>
        <family val="2"/>
      </rPr>
      <t xml:space="preserve">小計 </t>
    </r>
    <r>
      <rPr>
        <b val="true"/>
        <sz val="10"/>
        <color theme="1"/>
        <rFont val="Meiryo UI"/>
        <family val="2"/>
        <charset val="128"/>
      </rPr>
      <t xml:space="preserve">(</t>
    </r>
    <r>
      <rPr>
        <b val="true"/>
        <sz val="10"/>
        <color theme="1"/>
        <rFont val="DejaVu Sans"/>
        <family val="2"/>
      </rPr>
      <t xml:space="preserve">人時</t>
    </r>
    <r>
      <rPr>
        <b val="true"/>
        <sz val="10"/>
        <color theme="1"/>
        <rFont val="Meiryo UI"/>
        <family val="2"/>
        <charset val="128"/>
      </rPr>
      <t xml:space="preserve">)</t>
    </r>
  </si>
  <si>
    <t xml:space="preserve">Foundation</t>
  </si>
  <si>
    <t xml:space="preserve">Project setup</t>
  </si>
  <si>
    <t xml:space="preserve">プロジェクト初期化・階層アーキテクチャ設計・ビルド構成</t>
  </si>
  <si>
    <t xml:space="preserve">Splash</t>
  </si>
  <si>
    <t xml:space="preserve">スプラッシュ画面実装（企業ロゴ・バージョン表示）</t>
  </si>
  <si>
    <t xml:space="preserve">Start screen</t>
  </si>
  <si>
    <t xml:space="preserve">モード選択画面・ナビゲーション実装</t>
  </si>
  <si>
    <t xml:space="preserve">Permission</t>
  </si>
  <si>
    <t xml:space="preserve">権限リクエストダイアログ（位置情報/BLE/通知）実装</t>
  </si>
  <si>
    <t xml:space="preserve">Common UI</t>
  </si>
  <si>
    <t xml:space="preserve">共通UIテーマ・トースト・ダイアログコンポーネント実装</t>
  </si>
  <si>
    <t xml:space="preserve">BLE Transport</t>
  </si>
  <si>
    <t xml:space="preserve">Central manager</t>
  </si>
  <si>
    <t xml:space="preserve">Bluetooth Centralマネージャー初期化・状態管理</t>
  </si>
  <si>
    <t xml:space="preserve">Scan &amp; list</t>
  </si>
  <si>
    <t xml:space="preserve">デバイススキャン・フィルタリング・デバイス一覧表示</t>
  </si>
  <si>
    <t xml:space="preserve">Connect</t>
  </si>
  <si>
    <t xml:space="preserve">接続・切断・タイムアウト制御・エラーメッセージ表示</t>
  </si>
  <si>
    <t xml:space="preserve">Auto reconnect</t>
  </si>
  <si>
    <t xml:space="preserve">登録済みデバイス自動再接続ロジック実装</t>
  </si>
  <si>
    <t xml:space="preserve">RSSI</t>
  </si>
  <si>
    <t xml:space="preserve">RSSIシグナル監視・電波強度ステータスカラー反映</t>
  </si>
  <si>
    <t xml:space="preserve">GATT framing</t>
  </si>
  <si>
    <t xml:space="preserve">GATTデータ送受信・パケットチャンキング処理</t>
  </si>
  <si>
    <t xml:space="preserve">Background BLE</t>
  </si>
  <si>
    <t xml:space="preserve">バックグラウンドモード・状態復元処理</t>
  </si>
  <si>
    <t xml:space="preserve">Protocol core</t>
  </si>
  <si>
    <t xml:space="preserve">コマンドエンコード/デコード共通ライブラリ実装</t>
  </si>
  <si>
    <t xml:space="preserve">Receiver</t>
  </si>
  <si>
    <t xml:space="preserve">Main screen</t>
  </si>
  <si>
    <t xml:space="preserve">メイン画面UI・接続ステータスインジケーター</t>
  </si>
  <si>
    <t xml:space="preserve">Measurement recv</t>
  </si>
  <si>
    <t xml:space="preserve">測定データ受信パース・リスト追記処理</t>
  </si>
  <si>
    <t xml:space="preserve">Stored data download</t>
  </si>
  <si>
    <t xml:space="preserve">保存データダウンロード・プログレスバー・中断処理</t>
  </si>
  <si>
    <t xml:space="preserve">Detail view</t>
  </si>
  <si>
    <t xml:space="preserve">測定詳細データ閲覧画面（スワイプ/タップ操作）</t>
  </si>
  <si>
    <t xml:space="preserve">Delete data</t>
  </si>
  <si>
    <t xml:space="preserve">データ個別削除・一括削除・確認ダイアログ</t>
  </si>
  <si>
    <t xml:space="preserve">Log data create</t>
  </si>
  <si>
    <t xml:space="preserve">現場データ登録フォーム・バリデーション・重複チェック</t>
  </si>
  <si>
    <t xml:space="preserve">Log data list</t>
  </si>
  <si>
    <t xml:space="preserve">ログ一覧画面・ログクリア機能</t>
  </si>
  <si>
    <t xml:space="preserve">Transmitter</t>
  </si>
  <si>
    <t xml:space="preserve">周波数・出力設定メインコントロールUI</t>
  </si>
  <si>
    <t xml:space="preserve">Remote control</t>
  </si>
  <si>
    <t xml:space="preserve">制御コマンド送信・応答アンサーバリュー照合</t>
  </si>
  <si>
    <t xml:space="preserve">Current adjust</t>
  </si>
  <si>
    <t xml:space="preserve">電流直接調整制御・リミット上限表示</t>
  </si>
  <si>
    <t xml:space="preserve">Battery &amp; update</t>
  </si>
  <si>
    <t xml:space="preserve">バッテリー残量表示・定期ポーリング更新</t>
  </si>
  <si>
    <t xml:space="preserve">Sleep</t>
  </si>
  <si>
    <t xml:space="preserve">スリープモード移行・ステータスダイアログ</t>
  </si>
  <si>
    <t xml:space="preserve">Background op</t>
  </si>
  <si>
    <t xml:space="preserve">送信機バックグラウンドキープアライブ制御</t>
  </si>
  <si>
    <t xml:space="preserve">Error handling</t>
  </si>
  <si>
    <t xml:space="preserve">3秒タイムアウト制御・最大2回リトライ処理</t>
  </si>
  <si>
    <t xml:space="preserve">GPS</t>
  </si>
  <si>
    <t xml:space="preserve">Internal GPS</t>
  </si>
  <si>
    <t xml:space="preserve">内部GPS測位連携・測位ソース切替UI</t>
  </si>
  <si>
    <t xml:space="preserve">External GPS</t>
  </si>
  <si>
    <t xml:space="preserve">外部GPSレシーバー連携・BLE接続管理</t>
  </si>
  <si>
    <t xml:space="preserve">GPS binding</t>
  </si>
  <si>
    <t xml:space="preserve">GPS座標（緯度/経度/高度/誤差）メタデータ付与</t>
  </si>
  <si>
    <t xml:space="preserve">Map</t>
  </si>
  <si>
    <t xml:space="preserve">Map setup</t>
  </si>
  <si>
    <t xml:space="preserve">地図SDK構成設定・APIキー認証組み込み</t>
  </si>
  <si>
    <t xml:space="preserve">Marker &amp; line</t>
  </si>
  <si>
    <t xml:space="preserve">マップマーカー描画・属性別カラーライン描画</t>
  </si>
  <si>
    <t xml:space="preserve">Location feature</t>
  </si>
  <si>
    <t xml:space="preserve">現在位置追従・リセンター・詳細ポップアップ表示</t>
  </si>
  <si>
    <t xml:space="preserve">File Export</t>
  </si>
  <si>
    <t xml:space="preserve">KML export</t>
  </si>
  <si>
    <t xml:space="preserve">KML地理空間データ生成・共有機能</t>
  </si>
  <si>
    <t xml:space="preserve">CSV export</t>
  </si>
  <si>
    <t xml:space="preserve">CSVエクスポート・ファイル共有連携</t>
  </si>
  <si>
    <t xml:space="preserve">Share sheet</t>
  </si>
  <si>
    <t xml:space="preserve">OS標準シェアシート連携・エラーダイアログ</t>
  </si>
  <si>
    <t xml:space="preserve">Storage &amp; Notification</t>
  </si>
  <si>
    <t xml:space="preserve">Local storage</t>
  </si>
  <si>
    <t xml:space="preserve">データ永続化モデリング・ローカルストレージ容量制御</t>
  </si>
  <si>
    <t xml:space="preserve">Notification</t>
  </si>
  <si>
    <t xml:space="preserve">ローカルプッシュ通知・フォアグラウンドインジケーター</t>
  </si>
  <si>
    <t xml:space="preserve">小計</t>
  </si>
  <si>
    <t xml:space="preserve">基本設計</t>
  </si>
  <si>
    <t xml:space="preserve">項番</t>
  </si>
  <si>
    <t xml:space="preserve">作業内容</t>
  </si>
  <si>
    <t xml:space="preserve">コメント</t>
  </si>
  <si>
    <t xml:space="preserve">-</t>
  </si>
  <si>
    <t xml:space="preserve">手順書作成</t>
  </si>
  <si>
    <t xml:space="preserve">完成図書</t>
  </si>
  <si>
    <t xml:space="preserve">納品ドキュメント作成（システム構成図、各種パラメータ設定書、試験結果報告書）</t>
  </si>
  <si>
    <t xml:space="preserve">日本語、標準詳細度</t>
  </si>
  <si>
    <t xml:space="preserve">Handover</t>
  </si>
  <si>
    <t xml:space="preserve">運用引継ぎおよび各種設計・手順ドキュメントの説明・質疑応答</t>
  </si>
  <si>
    <t xml:space="preserve">結合テスト</t>
  </si>
  <si>
    <t xml:space="preserve">Test design</t>
  </si>
  <si>
    <t xml:space="preserve">テスト計画書・テストケース作成（単体テスト・結合テスト仕様）</t>
  </si>
  <si>
    <t xml:space="preserve">Integration test</t>
  </si>
  <si>
    <t xml:space="preserve">エンドツーエンド結合テストシナリオ検証・不具合修正</t>
  </si>
  <si>
    <t xml:space="preserve">テスト検証環境提供前提</t>
  </si>
  <si>
    <r>
      <rPr>
        <b val="true"/>
        <sz val="10"/>
        <color theme="1"/>
        <rFont val="Meiryo UI"/>
        <family val="2"/>
        <charset val="128"/>
      </rPr>
      <t xml:space="preserve">BrSE</t>
    </r>
    <r>
      <rPr>
        <b val="true"/>
        <sz val="10"/>
        <color theme="1"/>
        <rFont val="DejaVu Sans"/>
        <family val="2"/>
      </rPr>
      <t xml:space="preserve">担当</t>
    </r>
  </si>
  <si>
    <r>
      <rPr>
        <sz val="10"/>
        <color theme="1"/>
        <rFont val="Meiryo UI"/>
        <family val="2"/>
        <charset val="128"/>
      </rPr>
      <t xml:space="preserve">BrSE</t>
    </r>
    <r>
      <rPr>
        <sz val="10"/>
        <color theme="1"/>
        <rFont val="DejaVu Sans"/>
        <family val="2"/>
      </rPr>
      <t xml:space="preserve">担当</t>
    </r>
  </si>
  <si>
    <t xml:space="preserve">仕様の理解・伝達、お客様との
コミュニケーション担当</t>
  </si>
  <si>
    <r>
      <rPr>
        <sz val="10"/>
        <color theme="1"/>
        <rFont val="DejaVu Sans"/>
        <family val="2"/>
      </rPr>
      <t xml:space="preserve">開発・手順書・テスト・保守工数
</t>
    </r>
    <r>
      <rPr>
        <sz val="10"/>
        <color theme="1"/>
        <rFont val="Meiryo UI"/>
        <family val="2"/>
        <charset val="128"/>
      </rPr>
      <t xml:space="preserve">× 10%</t>
    </r>
  </si>
  <si>
    <t xml:space="preserve">プロジェクト管理</t>
  </si>
  <si>
    <r>
      <rPr>
        <sz val="10"/>
        <color theme="1"/>
        <rFont val="DejaVu Sans"/>
        <family val="2"/>
      </rPr>
      <t xml:space="preserve">プロジェクトの全体的な管理、</t>
    </r>
    <r>
      <rPr>
        <sz val="10"/>
        <color theme="1"/>
        <rFont val="Meiryo UI"/>
        <family val="2"/>
        <charset val="128"/>
      </rPr>
      <t xml:space="preserve">QCD</t>
    </r>
    <r>
      <rPr>
        <sz val="10"/>
        <color theme="1"/>
        <rFont val="DejaVu Sans"/>
        <family val="2"/>
      </rPr>
      <t xml:space="preserve">管理</t>
    </r>
  </si>
  <si>
    <r>
      <rPr>
        <b val="true"/>
        <sz val="11"/>
        <color theme="1"/>
        <rFont val="DejaVu Sans"/>
        <family val="2"/>
      </rPr>
      <t xml:space="preserve">小計 </t>
    </r>
    <r>
      <rPr>
        <b val="true"/>
        <sz val="11"/>
        <color theme="1"/>
        <rFont val="Meiryo UI"/>
        <family val="2"/>
        <charset val="128"/>
      </rPr>
      <t xml:space="preserve">(</t>
    </r>
    <r>
      <rPr>
        <b val="true"/>
        <sz val="11"/>
        <color theme="1"/>
        <rFont val="DejaVu Sans"/>
        <family val="2"/>
      </rPr>
      <t xml:space="preserve">人月</t>
    </r>
    <r>
      <rPr>
        <b val="true"/>
        <sz val="11"/>
        <color theme="1"/>
        <rFont val="Meiryo UI"/>
        <family val="2"/>
        <charset val="128"/>
      </rPr>
      <t xml:space="preserve">)</t>
    </r>
  </si>
  <si>
    <r>
      <rPr>
        <sz val="11"/>
        <rFont val="Meiryo UI"/>
        <family val="2"/>
        <charset val="128"/>
      </rPr>
      <t xml:space="preserve">BrSE</t>
    </r>
    <r>
      <rPr>
        <sz val="11"/>
        <rFont val="DejaVu Sans"/>
        <family val="2"/>
      </rPr>
      <t xml:space="preserve">担当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</si>
</sst>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yyyy/m/d;@"/>
    <numFmt numFmtId="166" formatCode="0.0"/>
    <numFmt numFmtId="167" formatCode="@"/>
    <numFmt numFmtId="168" formatCode="m/d/yyyy"/>
    <numFmt numFmtId="169" formatCode="#,##0\$"/>
    <numFmt numFmtId="170" formatCode="#,##0.00\$"/>
    <numFmt numFmtId="171" formatCode="#,##0.0\$"/>
    <numFmt numFmtId="172" formatCode="[$-F800]dddd&quot;, &quot;mmmm\ dd&quot;, &quot;yyyy"/>
    <numFmt numFmtId="173" formatCode="#,##0_);[RED]\(#,##0\)"/>
    <numFmt numFmtId="174" formatCode="0.00"/>
    <numFmt numFmtId="175" formatCode="#,##0"/>
    <numFmt numFmtId="176" formatCode="#,##0.00_);[RED]\(#,##0.00\)"/>
  </numFmts>
  <fonts count="6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eiryo UI"/>
      <family val="2"/>
      <charset val="128"/>
    </font>
    <font>
      <sz val="12"/>
      <color theme="1"/>
      <name val="DejaVu Sans"/>
      <family val="2"/>
    </font>
    <font>
      <sz val="10"/>
      <color theme="1"/>
      <name val="Meiryo UI"/>
      <family val="2"/>
      <charset val="128"/>
    </font>
    <font>
      <sz val="10"/>
      <color theme="1"/>
      <name val="DejaVu Sans"/>
      <family val="2"/>
    </font>
    <font>
      <sz val="8"/>
      <color theme="1"/>
      <name val="Meiryo UI"/>
      <family val="2"/>
      <charset val="128"/>
    </font>
    <font>
      <b val="true"/>
      <sz val="48"/>
      <color theme="1"/>
      <name val="Meiryo UI"/>
      <family val="2"/>
      <charset val="128"/>
    </font>
    <font>
      <b val="true"/>
      <sz val="72"/>
      <color theme="1"/>
      <name val="DejaVu Sans"/>
      <family val="2"/>
    </font>
    <font>
      <b val="true"/>
      <sz val="36"/>
      <color theme="1"/>
      <name val="Meiryo UI"/>
      <family val="2"/>
      <charset val="128"/>
    </font>
    <font>
      <b val="true"/>
      <sz val="28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b val="true"/>
      <sz val="11"/>
      <color theme="1"/>
      <name val="DejaVu Sans"/>
      <family val="2"/>
    </font>
    <font>
      <sz val="11"/>
      <color theme="1"/>
      <name val="DejaVu Sans"/>
      <family val="2"/>
    </font>
    <font>
      <sz val="11"/>
      <color rgb="FF000000"/>
      <name val="DejaVu Sans"/>
      <family val="2"/>
    </font>
    <font>
      <b val="true"/>
      <sz val="11"/>
      <color theme="1"/>
      <name val="Meiryo UI"/>
      <family val="2"/>
      <charset val="128"/>
    </font>
    <font>
      <sz val="11"/>
      <color rgb="FF000000"/>
      <name val="Meiryo UI"/>
      <family val="2"/>
      <charset val="128"/>
    </font>
    <font>
      <b val="true"/>
      <sz val="28"/>
      <color theme="1"/>
      <name val="DejaVu Sans"/>
      <family val="2"/>
    </font>
    <font>
      <sz val="11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b val="true"/>
      <sz val="14"/>
      <color theme="1"/>
      <name val="DejaVu Sans"/>
      <family val="2"/>
    </font>
    <font>
      <b val="true"/>
      <sz val="14"/>
      <color theme="1"/>
      <name val="DejaVu Sans"/>
      <family val="2"/>
      <charset val="1"/>
    </font>
    <font>
      <b val="true"/>
      <sz val="11"/>
      <color theme="1"/>
      <name val="Meiryo"/>
      <family val="2"/>
      <charset val="128"/>
    </font>
    <font>
      <b val="true"/>
      <sz val="14"/>
      <color theme="1"/>
      <name val="Meiryo"/>
      <family val="2"/>
      <charset val="128"/>
    </font>
    <font>
      <b val="true"/>
      <sz val="11"/>
      <color rgb="FFFF0000"/>
      <name val="Meiryo"/>
      <family val="2"/>
      <charset val="128"/>
    </font>
    <font>
      <b val="true"/>
      <sz val="11"/>
      <color rgb="FFFF0000"/>
      <name val="DejaVu Sans"/>
      <family val="2"/>
    </font>
    <font>
      <u val="single"/>
      <sz val="11"/>
      <color rgb="FF0000FF"/>
      <name val="Meiryo"/>
      <family val="2"/>
      <charset val="128"/>
    </font>
    <font>
      <sz val="11"/>
      <color rgb="FFFF0000"/>
      <name val="Meiryo"/>
      <family val="2"/>
      <charset val="128"/>
    </font>
    <font>
      <sz val="14"/>
      <color theme="1"/>
      <name val="Meiryo"/>
      <family val="2"/>
      <charset val="128"/>
    </font>
    <font>
      <b val="true"/>
      <sz val="13"/>
      <color theme="1"/>
      <name val="DejaVu Sans"/>
      <family val="2"/>
    </font>
    <font>
      <sz val="11"/>
      <color theme="1"/>
      <name val="DejaVu Sans"/>
      <family val="2"/>
      <charset val="1"/>
    </font>
    <font>
      <b val="true"/>
      <sz val="13"/>
      <color theme="1"/>
      <name val="DejaVu Sans"/>
      <family val="2"/>
      <charset val="1"/>
    </font>
    <font>
      <b val="true"/>
      <sz val="11"/>
      <color theme="1"/>
      <name val="DejaVu Sans"/>
      <family val="2"/>
      <charset val="1"/>
    </font>
    <font>
      <sz val="16"/>
      <color theme="1"/>
      <name val="Meiryo"/>
      <family val="2"/>
      <charset val="128"/>
    </font>
    <font>
      <b val="true"/>
      <u val="single"/>
      <sz val="14"/>
      <color theme="1"/>
      <name val="DejaVu Sans"/>
      <family val="2"/>
    </font>
    <font>
      <b val="true"/>
      <sz val="11"/>
      <color rgb="FFFF0000"/>
      <name val="DejaVu Sans"/>
      <family val="2"/>
      <charset val="1"/>
    </font>
    <font>
      <b val="true"/>
      <u val="single"/>
      <sz val="11"/>
      <color rgb="FFFF0000"/>
      <name val="Meiryo"/>
      <family val="2"/>
      <charset val="128"/>
    </font>
    <font>
      <b val="true"/>
      <sz val="12"/>
      <color theme="1"/>
      <name val="DejaVu Sans"/>
      <family val="2"/>
    </font>
    <font>
      <b val="true"/>
      <sz val="12"/>
      <color theme="1"/>
      <name val="Meiryo"/>
      <family val="2"/>
      <charset val="128"/>
    </font>
    <font>
      <sz val="12"/>
      <color theme="1"/>
      <name val="Meiryo UI"/>
      <family val="2"/>
      <charset val="128"/>
    </font>
    <font>
      <b val="true"/>
      <sz val="14"/>
      <color theme="1"/>
      <name val="Meiryo UI"/>
      <family val="2"/>
      <charset val="128"/>
    </font>
    <font>
      <b val="true"/>
      <sz val="11"/>
      <color rgb="FFFF0000"/>
      <name val="Meiryo UI"/>
      <family val="2"/>
      <charset val="128"/>
    </font>
    <font>
      <sz val="11"/>
      <color rgb="FFFFFF00"/>
      <name val="Meiryo UI"/>
      <family val="2"/>
      <charset val="128"/>
    </font>
    <font>
      <b val="true"/>
      <sz val="11"/>
      <color rgb="FFFFFFFF"/>
      <name val="Meiryo UI"/>
      <family val="2"/>
      <charset val="128"/>
    </font>
    <font>
      <b val="true"/>
      <sz val="11"/>
      <color rgb="FFFFFFFF"/>
      <name val="DejaVu Sans"/>
      <family val="2"/>
    </font>
    <font>
      <b val="true"/>
      <sz val="12"/>
      <color rgb="FFFFFFFF"/>
      <name val="Meiryo UI"/>
      <family val="2"/>
      <charset val="128"/>
    </font>
    <font>
      <sz val="11"/>
      <name val="DejaVu Sans"/>
      <family val="2"/>
    </font>
    <font>
      <sz val="10"/>
      <color rgb="FF000000"/>
      <name val="Meiryo UI"/>
      <family val="2"/>
      <charset val="128"/>
    </font>
    <font>
      <sz val="10"/>
      <color rgb="FF000000"/>
      <name val="DejaVu Sans"/>
      <family val="2"/>
    </font>
    <font>
      <b val="true"/>
      <sz val="12"/>
      <color theme="1"/>
      <name val="Meiryo UI"/>
      <family val="2"/>
      <charset val="128"/>
    </font>
    <font>
      <sz val="11"/>
      <name val="Meiryo UI"/>
      <family val="2"/>
      <charset val="128"/>
    </font>
    <font>
      <b val="true"/>
      <sz val="24"/>
      <color theme="1"/>
      <name val="DejaVu Sans"/>
      <family val="2"/>
    </font>
    <font>
      <sz val="14"/>
      <color theme="1"/>
      <name val="Meiryo UI"/>
      <family val="2"/>
      <charset val="128"/>
    </font>
    <font>
      <b val="true"/>
      <sz val="12"/>
      <color rgb="FF555555"/>
      <name val="Meiryo UI"/>
      <family val="2"/>
      <charset val="128"/>
    </font>
    <font>
      <b val="true"/>
      <sz val="24"/>
      <color rgb="FF000000"/>
      <name val="DejaVu Sans"/>
      <family val="2"/>
    </font>
    <font>
      <sz val="16"/>
      <color rgb="FF000000"/>
      <name val="Meiryo UI"/>
      <family val="2"/>
      <charset val="128"/>
    </font>
    <font>
      <b val="true"/>
      <sz val="10"/>
      <color theme="1"/>
      <name val="DejaVu Sans"/>
      <family val="2"/>
    </font>
    <font>
      <b val="true"/>
      <sz val="10"/>
      <color theme="1"/>
      <name val="Meiryo UI"/>
      <family val="2"/>
      <charset val="128"/>
    </font>
    <font>
      <b val="true"/>
      <sz val="11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theme="9"/>
        <bgColor rgb="FF339966"/>
      </patternFill>
    </fill>
    <fill>
      <patternFill patternType="solid">
        <fgColor theme="4"/>
        <bgColor rgb="FF80808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555555"/>
      </patternFill>
    </fill>
    <fill>
      <patternFill patternType="solid">
        <fgColor rgb="FF9CC2E5"/>
        <bgColor rgb="FF9DC3E6"/>
      </patternFill>
    </fill>
    <fill>
      <patternFill patternType="solid">
        <fgColor rgb="FFF7CAAC"/>
        <bgColor rgb="FFCCCCFF"/>
      </patternFill>
    </fill>
    <fill>
      <patternFill patternType="solid">
        <fgColor theme="4" tint="0.3998"/>
        <bgColor rgb="FF9CC2E5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4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8" fontId="45" fillId="7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4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4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7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9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1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1" fillId="4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1" fillId="4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9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9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9" fillId="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5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9CC2E5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555555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179</xdr:row>
      <xdr:rowOff>0</xdr:rowOff>
    </xdr:from>
    <xdr:to>
      <xdr:col>12</xdr:col>
      <xdr:colOff>360000</xdr:colOff>
      <xdr:row>201</xdr:row>
      <xdr:rowOff>112320</xdr:rowOff>
    </xdr:to>
    <xdr:pic>
      <xdr:nvPicPr>
        <xdr:cNvPr id="2" name="image4.png"/>
        <xdr:cNvPicPr/>
      </xdr:nvPicPr>
      <xdr:blipFill>
        <a:blip r:embed="rId1"/>
        <a:stretch/>
      </xdr:blipFill>
      <xdr:spPr>
        <a:xfrm>
          <a:off x="452880" y="40081320"/>
          <a:ext cx="9761040" cy="4322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95400</xdr:colOff>
      <xdr:row>31</xdr:row>
      <xdr:rowOff>76320</xdr:rowOff>
    </xdr:from>
    <xdr:to>
      <xdr:col>12</xdr:col>
      <xdr:colOff>160200</xdr:colOff>
      <xdr:row>67</xdr:row>
      <xdr:rowOff>93240</xdr:rowOff>
    </xdr:to>
    <xdr:pic>
      <xdr:nvPicPr>
        <xdr:cNvPr id="3" name="image2.png"/>
        <xdr:cNvPicPr/>
      </xdr:nvPicPr>
      <xdr:blipFill>
        <a:blip r:embed="rId2"/>
        <a:stretch/>
      </xdr:blipFill>
      <xdr:spPr>
        <a:xfrm>
          <a:off x="548280" y="6782040"/>
          <a:ext cx="9465840" cy="6874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38160</xdr:colOff>
      <xdr:row>104</xdr:row>
      <xdr:rowOff>19080</xdr:rowOff>
    </xdr:from>
    <xdr:to>
      <xdr:col>11</xdr:col>
      <xdr:colOff>369360</xdr:colOff>
      <xdr:row>126</xdr:row>
      <xdr:rowOff>26280</xdr:rowOff>
    </xdr:to>
    <xdr:pic>
      <xdr:nvPicPr>
        <xdr:cNvPr id="4" name="image5.png"/>
        <xdr:cNvPicPr/>
      </xdr:nvPicPr>
      <xdr:blipFill>
        <a:blip r:embed="rId3"/>
        <a:stretch/>
      </xdr:blipFill>
      <xdr:spPr>
        <a:xfrm>
          <a:off x="853560" y="25545960"/>
          <a:ext cx="8494200" cy="4198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438120</xdr:colOff>
      <xdr:row>151</xdr:row>
      <xdr:rowOff>66600</xdr:rowOff>
    </xdr:from>
    <xdr:to>
      <xdr:col>11</xdr:col>
      <xdr:colOff>801720</xdr:colOff>
      <xdr:row>173</xdr:row>
      <xdr:rowOff>74160</xdr:rowOff>
    </xdr:to>
    <xdr:pic>
      <xdr:nvPicPr>
        <xdr:cNvPr id="5" name="image3.png"/>
        <xdr:cNvPicPr/>
      </xdr:nvPicPr>
      <xdr:blipFill>
        <a:blip r:embed="rId4"/>
        <a:stretch/>
      </xdr:blipFill>
      <xdr:spPr>
        <a:xfrm>
          <a:off x="438120" y="34785360"/>
          <a:ext cx="9342000" cy="4198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187200</xdr:colOff>
      <xdr:row>60</xdr:row>
      <xdr:rowOff>25560</xdr:rowOff>
    </xdr:from>
    <xdr:to>
      <xdr:col>10</xdr:col>
      <xdr:colOff>32400</xdr:colOff>
      <xdr:row>80</xdr:row>
      <xdr:rowOff>51840</xdr:rowOff>
    </xdr:to>
    <xdr:pic>
      <xdr:nvPicPr>
        <xdr:cNvPr id="6" name="Picture 3"/>
        <xdr:cNvPicPr/>
      </xdr:nvPicPr>
      <xdr:blipFill>
        <a:blip r:embed="rId1"/>
        <a:stretch/>
      </xdr:blipFill>
      <xdr:spPr>
        <a:xfrm>
          <a:off x="640080" y="21637800"/>
          <a:ext cx="8776440" cy="385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4</xdr:col>
      <xdr:colOff>0</xdr:colOff>
      <xdr:row>49</xdr:row>
      <xdr:rowOff>28440</xdr:rowOff>
    </xdr:from>
    <xdr:to>
      <xdr:col>4</xdr:col>
      <xdr:colOff>1018800</xdr:colOff>
      <xdr:row>49</xdr:row>
      <xdr:rowOff>389880</xdr:rowOff>
    </xdr:to>
    <xdr:sp>
      <xdr:nvSpPr>
        <xdr:cNvPr id="7" name="Mũi tn phải 1"/>
        <xdr:cNvSpPr/>
      </xdr:nvSpPr>
      <xdr:spPr>
        <a:xfrm>
          <a:off x="2586960" y="17697240"/>
          <a:ext cx="1018800" cy="36144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5</xdr:col>
      <xdr:colOff>19080</xdr:colOff>
      <xdr:row>50</xdr:row>
      <xdr:rowOff>28440</xdr:rowOff>
    </xdr:from>
    <xdr:to>
      <xdr:col>6</xdr:col>
      <xdr:colOff>437760</xdr:colOff>
      <xdr:row>50</xdr:row>
      <xdr:rowOff>389880</xdr:rowOff>
    </xdr:to>
    <xdr:sp>
      <xdr:nvSpPr>
        <xdr:cNvPr id="8" name="Mũi tn phải 2"/>
        <xdr:cNvSpPr/>
      </xdr:nvSpPr>
      <xdr:spPr>
        <a:xfrm>
          <a:off x="3673440" y="18126000"/>
          <a:ext cx="1486080" cy="36144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9360</xdr:colOff>
      <xdr:row>51</xdr:row>
      <xdr:rowOff>28440</xdr:rowOff>
    </xdr:from>
    <xdr:to>
      <xdr:col>8</xdr:col>
      <xdr:colOff>1067400</xdr:colOff>
      <xdr:row>51</xdr:row>
      <xdr:rowOff>389880</xdr:rowOff>
    </xdr:to>
    <xdr:sp>
      <xdr:nvSpPr>
        <xdr:cNvPr id="9" name="Mũi tn phải 3"/>
        <xdr:cNvSpPr/>
      </xdr:nvSpPr>
      <xdr:spPr>
        <a:xfrm>
          <a:off x="4731120" y="18554400"/>
          <a:ext cx="3192840" cy="36144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9</xdr:col>
      <xdr:colOff>0</xdr:colOff>
      <xdr:row>52</xdr:row>
      <xdr:rowOff>38160</xdr:rowOff>
    </xdr:from>
    <xdr:to>
      <xdr:col>9</xdr:col>
      <xdr:colOff>818640</xdr:colOff>
      <xdr:row>52</xdr:row>
      <xdr:rowOff>399600</xdr:rowOff>
    </xdr:to>
    <xdr:sp>
      <xdr:nvSpPr>
        <xdr:cNvPr id="10" name="Mũi tn phải 4"/>
        <xdr:cNvSpPr/>
      </xdr:nvSpPr>
      <xdr:spPr>
        <a:xfrm>
          <a:off x="7924320" y="18992880"/>
          <a:ext cx="818640" cy="36144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10</xdr:col>
      <xdr:colOff>0</xdr:colOff>
      <xdr:row>53</xdr:row>
      <xdr:rowOff>28440</xdr:rowOff>
    </xdr:from>
    <xdr:to>
      <xdr:col>11</xdr:col>
      <xdr:colOff>9000</xdr:colOff>
      <xdr:row>53</xdr:row>
      <xdr:rowOff>389880</xdr:rowOff>
    </xdr:to>
    <xdr:sp>
      <xdr:nvSpPr>
        <xdr:cNvPr id="11" name="Mũi tn phải 6"/>
        <xdr:cNvSpPr/>
      </xdr:nvSpPr>
      <xdr:spPr>
        <a:xfrm>
          <a:off x="9384120" y="19411920"/>
          <a:ext cx="1468800" cy="361440"/>
        </a:xfrm>
        <a:prstGeom prst="rightArrow">
          <a:avLst>
            <a:gd name="adj1" fmla="val 50000"/>
            <a:gd name="adj2" fmla="val 50000"/>
          </a:avLst>
        </a:prstGeom>
        <a:solidFill>
          <a:srgbClr val="FFC000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0</xdr:colOff>
      <xdr:row>56</xdr:row>
      <xdr:rowOff>114480</xdr:rowOff>
    </xdr:from>
    <xdr:to>
      <xdr:col>12</xdr:col>
      <xdr:colOff>9000</xdr:colOff>
      <xdr:row>56</xdr:row>
      <xdr:rowOff>399960</xdr:rowOff>
    </xdr:to>
    <xdr:sp>
      <xdr:nvSpPr>
        <xdr:cNvPr id="12" name="Mũi tn phải 8"/>
        <xdr:cNvSpPr/>
      </xdr:nvSpPr>
      <xdr:spPr>
        <a:xfrm>
          <a:off x="10843920" y="20536200"/>
          <a:ext cx="1257480" cy="285480"/>
        </a:xfrm>
        <a:prstGeom prst="rightArrow">
          <a:avLst>
            <a:gd name="adj1" fmla="val 50000"/>
            <a:gd name="adj2" fmla="val 50000"/>
          </a:avLst>
        </a:prstGeom>
        <a:solidFill>
          <a:srgbClr val="FFC000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11</xdr:col>
      <xdr:colOff>0</xdr:colOff>
      <xdr:row>54</xdr:row>
      <xdr:rowOff>295200</xdr:rowOff>
    </xdr:from>
    <xdr:to>
      <xdr:col>11</xdr:col>
      <xdr:colOff>818640</xdr:colOff>
      <xdr:row>55</xdr:row>
      <xdr:rowOff>285480</xdr:rowOff>
    </xdr:to>
    <xdr:sp>
      <xdr:nvSpPr>
        <xdr:cNvPr id="13" name="Mũi tn phải 9"/>
        <xdr:cNvSpPr/>
      </xdr:nvSpPr>
      <xdr:spPr>
        <a:xfrm>
          <a:off x="10843920" y="20107080"/>
          <a:ext cx="818640" cy="29520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800280</xdr:colOff>
      <xdr:row>1</xdr:row>
      <xdr:rowOff>57240</xdr:rowOff>
    </xdr:from>
    <xdr:to>
      <xdr:col>7</xdr:col>
      <xdr:colOff>1080</xdr:colOff>
      <xdr:row>5</xdr:row>
      <xdr:rowOff>55080</xdr:rowOff>
    </xdr:to>
    <xdr:pic>
      <xdr:nvPicPr>
        <xdr:cNvPr id="14" name="image7.png" descr="development team.png"/>
        <xdr:cNvPicPr/>
      </xdr:nvPicPr>
      <xdr:blipFill>
        <a:blip r:embed="rId1"/>
        <a:stretch/>
      </xdr:blipFill>
      <xdr:spPr>
        <a:xfrm>
          <a:off x="5673240" y="247680"/>
          <a:ext cx="1436040" cy="807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466560</xdr:colOff>
      <xdr:row>0</xdr:row>
      <xdr:rowOff>142920</xdr:rowOff>
    </xdr:from>
    <xdr:to>
      <xdr:col>7</xdr:col>
      <xdr:colOff>434160</xdr:colOff>
      <xdr:row>5</xdr:row>
      <xdr:rowOff>7560</xdr:rowOff>
    </xdr:to>
    <xdr:pic>
      <xdr:nvPicPr>
        <xdr:cNvPr id="15" name="image11.png" descr="development team.png"/>
        <xdr:cNvPicPr/>
      </xdr:nvPicPr>
      <xdr:blipFill>
        <a:blip r:embed="rId1"/>
        <a:stretch/>
      </xdr:blipFill>
      <xdr:spPr>
        <a:xfrm>
          <a:off x="9509040" y="142920"/>
          <a:ext cx="1941120" cy="1026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y-neo4j-movies-app.herokuapp.com/" TargetMode="External"/><Relationship Id="rId2" Type="http://schemas.openxmlformats.org/officeDocument/2006/relationships/hyperlink" Target="https://neo4j.com/pricing/" TargetMode="External"/><Relationship Id="rId3" Type="http://schemas.openxmlformats.org/officeDocument/2006/relationships/hyperlink" Target="https://d32ze2gidvkk54.cloudfront.net/Amazon_Route_53_Domain_Registration_Pricing_20140731.pdf" TargetMode="External"/><Relationship Id="rId4" Type="http://schemas.openxmlformats.org/officeDocument/2006/relationships/hyperlink" Target="https://d32ze2gidvkk54.cloudfront.net/Amazon_Route_53_Domain_Registration_Pricing_20140731.pdf" TargetMode="External"/><Relationship Id="rId5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3:F32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K21" activeCellId="0" sqref="K2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1.43"/>
    <col collapsed="false" customWidth="true" hidden="false" outlineLevel="0" max="3" min="3" style="1" width="19.42"/>
    <col collapsed="false" customWidth="true" hidden="false" outlineLevel="0" max="5" min="4" style="1" width="28.42"/>
    <col collapsed="false" customWidth="true" hidden="false" outlineLevel="0" max="6" min="6" style="1" width="29.42"/>
    <col collapsed="false" customWidth="true" hidden="false" outlineLevel="0" max="7" min="7" style="1" width="3.86"/>
    <col collapsed="false" customWidth="true" hidden="false" outlineLevel="0" max="8" min="8" style="1" width="7.42"/>
    <col collapsed="false" customWidth="true" hidden="false" outlineLevel="0" max="26" min="9" style="1" width="12.42"/>
    <col collapsed="false" customWidth="false" hidden="false" outlineLevel="0" max="16384" min="27" style="1" width="14.42"/>
  </cols>
  <sheetData>
    <row r="3" customFormat="false" ht="24" hidden="false" customHeight="true" outlineLevel="0" collapsed="false">
      <c r="B3" s="2" t="s">
        <v>0</v>
      </c>
      <c r="C3" s="2"/>
      <c r="D3" s="3"/>
      <c r="E3" s="3"/>
      <c r="F3" s="3"/>
    </row>
    <row r="4" customFormat="false" ht="19.5" hidden="false" customHeight="true" outlineLevel="0" collapsed="false">
      <c r="B4" s="4" t="s">
        <v>1</v>
      </c>
      <c r="C4" s="2"/>
      <c r="D4" s="2"/>
      <c r="E4" s="2"/>
      <c r="F4" s="2"/>
    </row>
    <row r="5" customFormat="false" ht="19.5" hidden="false" customHeight="true" outlineLevel="0" collapsed="false">
      <c r="B5" s="3" t="s">
        <v>2</v>
      </c>
      <c r="C5" s="3"/>
      <c r="D5" s="3"/>
      <c r="E5" s="3"/>
      <c r="F5" s="3"/>
    </row>
    <row r="6" customFormat="false" ht="13.5" hidden="false" customHeight="true" outlineLevel="0" collapsed="false">
      <c r="B6" s="5"/>
      <c r="C6" s="3"/>
      <c r="D6" s="2"/>
      <c r="E6" s="2"/>
      <c r="F6" s="2"/>
    </row>
    <row r="7" customFormat="false" ht="13.5" hidden="false" customHeight="true" outlineLevel="0" collapsed="false">
      <c r="B7" s="6"/>
      <c r="C7" s="6"/>
      <c r="D7" s="6"/>
      <c r="E7" s="6"/>
      <c r="F7" s="6"/>
    </row>
    <row r="8" customFormat="false" ht="4.5" hidden="false" customHeight="true" outlineLevel="0" collapsed="false">
      <c r="B8" s="7"/>
      <c r="C8" s="7"/>
      <c r="D8" s="7"/>
      <c r="E8" s="7"/>
      <c r="F8" s="7"/>
    </row>
    <row r="9" customFormat="false" ht="18.75" hidden="false" customHeight="true" outlineLevel="0" collapsed="false">
      <c r="B9" s="6"/>
      <c r="C9" s="6"/>
      <c r="D9" s="6"/>
      <c r="E9" s="6"/>
      <c r="F9" s="6"/>
    </row>
    <row r="10" customFormat="false" ht="75.75" hidden="false" customHeight="true" outlineLevel="0" collapsed="false">
      <c r="B10" s="6"/>
      <c r="C10" s="6"/>
      <c r="D10" s="8"/>
      <c r="E10" s="8"/>
      <c r="F10" s="8"/>
    </row>
    <row r="11" customFormat="false" ht="112.5" hidden="false" customHeight="true" outlineLevel="0" collapsed="false">
      <c r="B11" s="6"/>
      <c r="C11" s="6"/>
      <c r="D11" s="9" t="s">
        <v>3</v>
      </c>
      <c r="E11" s="9"/>
      <c r="F11" s="8"/>
    </row>
    <row r="12" customFormat="false" ht="31.5" hidden="false" customHeight="true" outlineLevel="0" collapsed="false">
      <c r="B12" s="6"/>
      <c r="C12" s="6"/>
      <c r="D12" s="8"/>
      <c r="E12" s="8"/>
      <c r="F12" s="8"/>
    </row>
    <row r="13" customFormat="false" ht="57" hidden="false" customHeight="true" outlineLevel="0" collapsed="false">
      <c r="B13" s="10"/>
      <c r="C13" s="10"/>
      <c r="D13" s="10"/>
      <c r="E13" s="10"/>
      <c r="F13" s="10"/>
    </row>
    <row r="14" customFormat="false" ht="52.5" hidden="false" customHeight="true" outlineLevel="0" collapsed="false">
      <c r="B14" s="11" t="s">
        <v>4</v>
      </c>
      <c r="C14" s="11"/>
      <c r="D14" s="11"/>
      <c r="E14" s="11"/>
      <c r="F14" s="11"/>
    </row>
    <row r="15" customFormat="false" ht="47.25" hidden="false" customHeight="true" outlineLevel="0" collapsed="false">
      <c r="B15" s="11"/>
      <c r="C15" s="11"/>
      <c r="D15" s="11"/>
      <c r="E15" s="11"/>
      <c r="F15" s="11"/>
    </row>
    <row r="16" customFormat="false" ht="37.5" hidden="false" customHeight="true" outlineLevel="0" collapsed="false">
      <c r="B16" s="6"/>
      <c r="C16" s="6"/>
      <c r="D16" s="12" t="n">
        <v>46184</v>
      </c>
      <c r="E16" s="12"/>
      <c r="F16" s="13"/>
    </row>
    <row r="20" customFormat="false" ht="21.75" hidden="false" customHeight="true" outlineLevel="0" collapsed="false">
      <c r="B20" s="14" t="s">
        <v>5</v>
      </c>
      <c r="C20" s="14" t="s">
        <v>6</v>
      </c>
      <c r="D20" s="14" t="s">
        <v>7</v>
      </c>
      <c r="E20" s="14" t="s">
        <v>8</v>
      </c>
      <c r="F20" s="14"/>
    </row>
    <row r="21" customFormat="false" ht="21.75" hidden="false" customHeight="true" outlineLevel="0" collapsed="false">
      <c r="B21" s="15" t="n">
        <v>1</v>
      </c>
      <c r="C21" s="16" t="n">
        <v>46184</v>
      </c>
      <c r="D21" s="17" t="s">
        <v>9</v>
      </c>
      <c r="E21" s="18" t="s">
        <v>10</v>
      </c>
      <c r="F21" s="18"/>
    </row>
    <row r="22" customFormat="false" ht="21.75" hidden="false" customHeight="true" outlineLevel="0" collapsed="false">
      <c r="B22" s="15"/>
      <c r="C22" s="16"/>
      <c r="D22" s="17"/>
      <c r="E22" s="18"/>
      <c r="F22" s="18"/>
    </row>
    <row r="23" customFormat="false" ht="21" hidden="false" customHeight="true" outlineLevel="0" collapsed="false">
      <c r="B23" s="15"/>
      <c r="C23" s="16"/>
      <c r="D23" s="17"/>
      <c r="E23" s="18"/>
      <c r="F23" s="18"/>
    </row>
    <row r="30" customFormat="false" ht="15.75" hidden="false" customHeight="true" outlineLevel="0" collapsed="false">
      <c r="B30" s="19"/>
      <c r="C30" s="19"/>
      <c r="D30" s="19"/>
      <c r="E30" s="20"/>
      <c r="F30" s="20"/>
    </row>
    <row r="31" customFormat="false" ht="18" hidden="false" customHeight="true" outlineLevel="0" collapsed="false">
      <c r="B31" s="21"/>
      <c r="C31" s="22"/>
      <c r="D31" s="23"/>
      <c r="E31" s="24"/>
      <c r="F31" s="24"/>
    </row>
    <row r="32" customFormat="false" ht="18" hidden="false" customHeight="true" outlineLevel="0" collapsed="false">
      <c r="B32" s="21"/>
      <c r="C32" s="22"/>
      <c r="D32" s="23"/>
      <c r="E32" s="24"/>
      <c r="F32" s="24"/>
    </row>
  </sheetData>
  <mergeCells count="12">
    <mergeCell ref="B8:F8"/>
    <mergeCell ref="D11:E11"/>
    <mergeCell ref="B13:F13"/>
    <mergeCell ref="B14:F15"/>
    <mergeCell ref="D16:E16"/>
    <mergeCell ref="E20:F20"/>
    <mergeCell ref="E21:F21"/>
    <mergeCell ref="E22:F22"/>
    <mergeCell ref="E23:F23"/>
    <mergeCell ref="E30:F30"/>
    <mergeCell ref="E31:F31"/>
    <mergeCell ref="E32:F32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2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5.14"/>
    <col collapsed="false" customWidth="true" hidden="false" outlineLevel="0" max="3" min="3" style="0" width="12.42"/>
    <col collapsed="false" customWidth="true" hidden="false" outlineLevel="0" max="4" min="4" style="0" width="16.43"/>
    <col collapsed="false" customWidth="true" hidden="false" outlineLevel="0" max="13" min="5" style="0" width="12.42"/>
    <col collapsed="false" customWidth="true" hidden="false" outlineLevel="0" max="14" min="14" style="0" width="6.43"/>
    <col collapsed="false" customWidth="true" hidden="false" outlineLevel="0" max="15" min="15" style="0" width="7.42"/>
    <col collapsed="false" customWidth="true" hidden="false" outlineLevel="0" max="26" min="16" style="0" width="12.42"/>
  </cols>
  <sheetData>
    <row r="2" customFormat="false" ht="45" hidden="false" customHeight="true" outlineLevel="0" collapsed="false">
      <c r="B2" s="25" t="s">
        <v>11</v>
      </c>
      <c r="C2" s="26"/>
      <c r="D2" s="26"/>
      <c r="E2" s="26"/>
      <c r="F2" s="27"/>
      <c r="G2" s="27"/>
      <c r="H2" s="27"/>
      <c r="I2" s="28"/>
      <c r="J2" s="26"/>
      <c r="K2" s="26"/>
      <c r="L2" s="29"/>
      <c r="M2" s="29"/>
    </row>
    <row r="3" customFormat="false" ht="15.75" hidden="false" customHeight="true" outlineLevel="0" collapsed="false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customFormat="false" ht="15.75" hidden="false" customHeight="true" outlineLevel="0" collapsed="false">
      <c r="B4" s="30" t="s">
        <v>12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customFormat="false" ht="15.75" hidden="false" customHeight="true" outlineLevel="0" collapsed="false">
      <c r="B5" s="31" t="s">
        <v>13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customFormat="false" ht="15.75" hidden="false" customHeight="true" outlineLevel="0" collapsed="false">
      <c r="B6" s="33" t="s">
        <v>14</v>
      </c>
      <c r="C6" s="34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customFormat="false" ht="15.75" hidden="false" customHeight="true" outlineLevel="0" collapsed="false">
      <c r="B7" s="26"/>
      <c r="C7" s="35" t="s">
        <v>15</v>
      </c>
      <c r="D7" s="36" t="s">
        <v>16</v>
      </c>
      <c r="E7" s="36"/>
      <c r="F7" s="36"/>
      <c r="G7" s="36" t="s">
        <v>17</v>
      </c>
      <c r="H7" s="36"/>
      <c r="I7" s="36"/>
      <c r="J7" s="36"/>
      <c r="K7" s="36"/>
      <c r="L7" s="36" t="s">
        <v>18</v>
      </c>
      <c r="M7" s="36"/>
    </row>
    <row r="8" customFormat="false" ht="18.75" hidden="false" customHeight="true" outlineLevel="0" collapsed="false">
      <c r="B8" s="26"/>
      <c r="C8" s="37" t="n">
        <v>1</v>
      </c>
      <c r="D8" s="38" t="s">
        <v>19</v>
      </c>
      <c r="E8" s="38"/>
      <c r="F8" s="38"/>
      <c r="G8" s="39" t="s">
        <v>20</v>
      </c>
      <c r="H8" s="39"/>
      <c r="I8" s="39"/>
      <c r="J8" s="39"/>
      <c r="K8" s="39"/>
      <c r="L8" s="40" t="n">
        <v>45212</v>
      </c>
      <c r="M8" s="40"/>
    </row>
    <row r="9" customFormat="false" ht="15.75" hidden="false" customHeight="true" outlineLevel="0" collapsed="false">
      <c r="B9" s="26"/>
      <c r="C9" s="41"/>
      <c r="D9" s="42"/>
      <c r="E9" s="26"/>
      <c r="F9" s="26"/>
      <c r="G9" s="42"/>
      <c r="H9" s="26"/>
      <c r="I9" s="26"/>
      <c r="J9" s="26"/>
      <c r="K9" s="26"/>
      <c r="L9" s="43"/>
      <c r="M9" s="26"/>
    </row>
    <row r="10" customFormat="false" ht="15.75" hidden="false" customHeight="true" outlineLevel="0" collapsed="false">
      <c r="B10" s="26"/>
      <c r="C10" s="44"/>
      <c r="D10" s="42"/>
      <c r="E10" s="42"/>
      <c r="F10" s="42"/>
      <c r="G10" s="42"/>
      <c r="H10" s="42"/>
      <c r="I10" s="42"/>
      <c r="J10" s="42"/>
      <c r="K10" s="42"/>
      <c r="L10" s="43"/>
      <c r="M10" s="45"/>
    </row>
    <row r="11" customFormat="false" ht="15.75" hidden="false" customHeight="true" outlineLevel="0" collapsed="false">
      <c r="B11" s="30" t="s">
        <v>21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.75" hidden="false" customHeight="true" outlineLevel="0" collapsed="false">
      <c r="B12" s="31" t="s">
        <v>22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customFormat="false" ht="15.75" hidden="false" customHeight="true" outlineLevel="0" collapsed="false">
      <c r="B13" s="31"/>
      <c r="C13" s="46" t="s">
        <v>23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customFormat="false" ht="15.75" hidden="false" customHeight="true" outlineLevel="0" collapsed="false">
      <c r="B14" s="46"/>
      <c r="C14" s="46" t="s">
        <v>24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5" customFormat="false" ht="15.75" hidden="false" customHeight="true" outlineLevel="0" collapsed="false">
      <c r="B15" s="46"/>
      <c r="C15" s="46" t="s">
        <v>25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 customFormat="false" ht="15.75" hidden="false" customHeight="true" outlineLevel="0" collapsed="false">
      <c r="B16" s="46"/>
      <c r="C16" s="46" t="s">
        <v>26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</row>
    <row r="17" customFormat="false" ht="15.75" hidden="false" customHeight="true" outlineLevel="0" collapsed="false">
      <c r="B17" s="46"/>
      <c r="C17" s="46" t="s">
        <v>27</v>
      </c>
      <c r="D17" s="46"/>
      <c r="E17" s="46"/>
      <c r="F17" s="46"/>
      <c r="G17" s="46"/>
      <c r="H17" s="32"/>
      <c r="I17" s="32"/>
      <c r="J17" s="32"/>
      <c r="K17" s="32"/>
      <c r="L17" s="32"/>
      <c r="M17" s="32"/>
    </row>
    <row r="18" customFormat="false" ht="15.75" hidden="false" customHeight="true" outlineLevel="0" collapsed="false">
      <c r="B18" s="46"/>
      <c r="C18" s="46" t="s">
        <v>28</v>
      </c>
      <c r="D18" s="46"/>
      <c r="E18" s="46"/>
      <c r="F18" s="46"/>
      <c r="G18" s="46"/>
      <c r="H18" s="32"/>
      <c r="I18" s="32"/>
      <c r="J18" s="32"/>
      <c r="K18" s="32"/>
      <c r="L18" s="32"/>
      <c r="M18" s="32"/>
    </row>
    <row r="19" customFormat="false" ht="15.75" hidden="false" customHeight="true" outlineLevel="0" collapsed="false">
      <c r="B19" s="46"/>
      <c r="C19" s="46" t="s">
        <v>29</v>
      </c>
      <c r="D19" s="46"/>
      <c r="E19" s="46"/>
      <c r="F19" s="46"/>
      <c r="G19" s="46"/>
      <c r="H19" s="32"/>
      <c r="I19" s="32"/>
      <c r="J19" s="32"/>
      <c r="K19" s="32"/>
      <c r="L19" s="32"/>
      <c r="M19" s="32"/>
    </row>
    <row r="20" customFormat="false" ht="15.75" hidden="false" customHeight="true" outlineLevel="0" collapsed="false">
      <c r="B20" s="26"/>
      <c r="C20" s="44"/>
      <c r="D20" s="42"/>
      <c r="E20" s="42"/>
      <c r="F20" s="42"/>
      <c r="G20" s="42"/>
      <c r="H20" s="42"/>
      <c r="I20" s="42"/>
      <c r="J20" s="42"/>
      <c r="K20" s="42"/>
      <c r="L20" s="43"/>
      <c r="M20" s="45"/>
    </row>
    <row r="21" customFormat="false" ht="15.75" hidden="false" customHeight="true" outlineLevel="0" collapsed="false">
      <c r="B21" s="30" t="s">
        <v>30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customFormat="false" ht="15.75" hidden="false" customHeight="true" outlineLevel="0" collapsed="false">
      <c r="B22" s="31" t="s">
        <v>31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customFormat="false" ht="15.75" hidden="false" customHeight="true" outlineLevel="0" collapsed="false">
      <c r="B23" s="47"/>
      <c r="C23" s="48" t="s">
        <v>15</v>
      </c>
      <c r="D23" s="36" t="s">
        <v>32</v>
      </c>
      <c r="E23" s="36"/>
      <c r="F23" s="36"/>
      <c r="G23" s="49" t="s">
        <v>33</v>
      </c>
      <c r="H23" s="49"/>
      <c r="I23" s="49"/>
      <c r="J23" s="49" t="s">
        <v>34</v>
      </c>
      <c r="K23" s="49"/>
      <c r="L23" s="49"/>
      <c r="M23" s="49"/>
    </row>
    <row r="24" customFormat="false" ht="22.5" hidden="false" customHeight="true" outlineLevel="0" collapsed="false">
      <c r="B24" s="47"/>
      <c r="C24" s="37" t="n">
        <v>1</v>
      </c>
      <c r="D24" s="39" t="s">
        <v>35</v>
      </c>
      <c r="E24" s="39"/>
      <c r="F24" s="39"/>
      <c r="G24" s="38" t="s">
        <v>36</v>
      </c>
      <c r="H24" s="38"/>
      <c r="I24" s="38"/>
      <c r="J24" s="38"/>
      <c r="K24" s="38"/>
      <c r="L24" s="38"/>
      <c r="M24" s="38"/>
    </row>
    <row r="25" customFormat="false" ht="16.5" hidden="false" customHeight="true" outlineLevel="0" collapsed="false">
      <c r="B25" s="47"/>
      <c r="C25" s="37" t="n">
        <v>2</v>
      </c>
      <c r="D25" s="39" t="s">
        <v>37</v>
      </c>
      <c r="E25" s="39"/>
      <c r="F25" s="39"/>
      <c r="G25" s="38" t="s">
        <v>38</v>
      </c>
      <c r="H25" s="38"/>
      <c r="I25" s="38"/>
      <c r="J25" s="38"/>
      <c r="K25" s="38"/>
      <c r="L25" s="38"/>
      <c r="M25" s="38"/>
    </row>
    <row r="26" customFormat="false" ht="16.5" hidden="false" customHeight="true" outlineLevel="0" collapsed="false">
      <c r="B26" s="47"/>
      <c r="C26" s="37" t="n">
        <v>3</v>
      </c>
      <c r="D26" s="38" t="s">
        <v>39</v>
      </c>
      <c r="E26" s="38"/>
      <c r="F26" s="38"/>
      <c r="G26" s="38" t="s">
        <v>40</v>
      </c>
      <c r="H26" s="38"/>
      <c r="I26" s="38"/>
      <c r="J26" s="39" t="s">
        <v>41</v>
      </c>
      <c r="K26" s="39"/>
      <c r="L26" s="39"/>
      <c r="M26" s="39"/>
    </row>
    <row r="27" customFormat="false" ht="15.75" hidden="false" customHeight="true" outlineLevel="0" collapsed="false">
      <c r="B27" s="46"/>
      <c r="C27" s="44"/>
      <c r="D27" s="42"/>
      <c r="E27" s="42"/>
      <c r="F27" s="42"/>
      <c r="G27" s="42"/>
      <c r="H27" s="42"/>
      <c r="I27" s="42"/>
      <c r="J27" s="42"/>
      <c r="K27" s="42"/>
      <c r="L27" s="43"/>
      <c r="M27" s="45"/>
    </row>
    <row r="28" customFormat="false" ht="15.75" hidden="false" customHeight="true" outlineLevel="0" collapsed="false">
      <c r="B28" s="50" t="s">
        <v>42</v>
      </c>
      <c r="D28" s="42"/>
      <c r="E28" s="42"/>
      <c r="F28" s="42"/>
      <c r="G28" s="42"/>
      <c r="H28" s="42"/>
      <c r="I28" s="42"/>
      <c r="J28" s="42"/>
      <c r="K28" s="42"/>
      <c r="L28" s="43"/>
      <c r="M28" s="45"/>
    </row>
    <row r="29" customFormat="false" ht="15.75" hidden="false" customHeight="true" outlineLevel="0" collapsed="false">
      <c r="B29" s="26"/>
      <c r="C29" s="51" t="s">
        <v>43</v>
      </c>
      <c r="D29" s="42"/>
      <c r="E29" s="42"/>
      <c r="F29" s="42"/>
      <c r="G29" s="42" t="s">
        <v>44</v>
      </c>
      <c r="H29" s="42"/>
      <c r="I29" s="42"/>
      <c r="J29" s="42"/>
      <c r="K29" s="42"/>
      <c r="L29" s="43"/>
      <c r="M29" s="45"/>
    </row>
    <row r="30" customFormat="false" ht="15.75" hidden="false" customHeight="true" outlineLevel="0" collapsed="false">
      <c r="B30" s="52"/>
      <c r="C30" s="53"/>
      <c r="D30" s="54"/>
      <c r="E30" s="42"/>
      <c r="F30" s="42"/>
      <c r="G30" s="42"/>
      <c r="H30" s="42"/>
      <c r="I30" s="42"/>
      <c r="J30" s="42"/>
      <c r="K30" s="42"/>
      <c r="L30" s="43"/>
      <c r="M30" s="45"/>
    </row>
    <row r="31" customFormat="false" ht="15.75" hidden="false" customHeight="true" outlineLevel="0" collapsed="false">
      <c r="B31" s="55" t="s">
        <v>45</v>
      </c>
      <c r="C31" s="53"/>
      <c r="D31" s="54"/>
      <c r="E31" s="42"/>
      <c r="F31" s="42"/>
      <c r="G31" s="42"/>
      <c r="H31" s="42"/>
      <c r="I31" s="42"/>
      <c r="J31" s="42"/>
      <c r="K31" s="42"/>
      <c r="L31" s="43"/>
      <c r="M31" s="45"/>
    </row>
    <row r="68" customFormat="false" ht="15.75" hidden="false" customHeight="true" outlineLevel="0" collapsed="false">
      <c r="B68" s="52" t="s">
        <v>46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</row>
    <row r="69" customFormat="false" ht="15.75" hidden="false" customHeight="true" outlineLevel="0" collapsed="false">
      <c r="B69" s="47"/>
      <c r="C69" s="46" t="s">
        <v>47</v>
      </c>
      <c r="D69" s="56"/>
      <c r="E69" s="56"/>
      <c r="F69" s="56"/>
      <c r="G69" s="56"/>
      <c r="H69" s="56"/>
      <c r="I69" s="46"/>
      <c r="J69" s="47"/>
      <c r="K69" s="47"/>
      <c r="L69" s="47"/>
      <c r="M69" s="47"/>
    </row>
    <row r="70" customFormat="false" ht="15.75" hidden="false" customHeight="true" outlineLevel="0" collapsed="false">
      <c r="B70" s="47"/>
      <c r="C70" s="46" t="s">
        <v>48</v>
      </c>
      <c r="D70" s="56"/>
      <c r="E70" s="56"/>
      <c r="F70" s="56"/>
      <c r="G70" s="56"/>
      <c r="H70" s="56"/>
      <c r="I70" s="47"/>
      <c r="J70" s="47"/>
      <c r="K70" s="47"/>
      <c r="L70" s="47"/>
      <c r="M70" s="47"/>
    </row>
    <row r="71" customFormat="false" ht="15.75" hidden="false" customHeight="true" outlineLevel="0" collapsed="false">
      <c r="B71" s="47"/>
      <c r="C71" s="31" t="s">
        <v>49</v>
      </c>
      <c r="D71" s="56"/>
      <c r="E71" s="56"/>
      <c r="F71" s="56"/>
      <c r="G71" s="56"/>
      <c r="H71" s="56"/>
      <c r="I71" s="47"/>
      <c r="J71" s="47"/>
      <c r="K71" s="47"/>
      <c r="L71" s="47"/>
      <c r="M71" s="47"/>
    </row>
    <row r="72" customFormat="false" ht="15.75" hidden="false" customHeight="true" outlineLevel="0" collapsed="false">
      <c r="B72" s="47"/>
      <c r="C72" s="31" t="s">
        <v>50</v>
      </c>
      <c r="D72" s="47"/>
      <c r="E72" s="47"/>
      <c r="F72" s="47"/>
      <c r="G72" s="47"/>
      <c r="H72" s="47"/>
      <c r="I72" s="47"/>
      <c r="J72" s="47"/>
      <c r="K72" s="47"/>
      <c r="L72" s="47"/>
      <c r="M72" s="47"/>
    </row>
    <row r="73" customFormat="false" ht="15.75" hidden="false" customHeight="true" outlineLevel="0" collapsed="false"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</row>
    <row r="74" customFormat="false" ht="15.75" hidden="false" customHeight="true" outlineLevel="0" collapsed="false">
      <c r="B74" s="47"/>
      <c r="C74" s="57" t="s">
        <v>51</v>
      </c>
      <c r="D74" s="44"/>
      <c r="E74" s="42"/>
      <c r="F74" s="42"/>
      <c r="G74" s="42"/>
      <c r="H74" s="42"/>
      <c r="I74" s="42"/>
      <c r="J74" s="42"/>
      <c r="K74" s="42"/>
      <c r="L74" s="42"/>
      <c r="M74" s="43"/>
    </row>
    <row r="75" customFormat="false" ht="15.75" hidden="false" customHeight="true" outlineLevel="0" collapsed="false">
      <c r="B75" s="47"/>
      <c r="C75" s="32"/>
      <c r="D75" s="44"/>
      <c r="E75" s="42"/>
      <c r="F75" s="42"/>
      <c r="G75" s="42"/>
      <c r="H75" s="42"/>
      <c r="I75" s="42"/>
      <c r="J75" s="42"/>
      <c r="K75" s="42"/>
      <c r="L75" s="42"/>
      <c r="M75" s="43"/>
    </row>
    <row r="76" customFormat="false" ht="37.5" hidden="false" customHeight="true" outlineLevel="0" collapsed="false">
      <c r="B76" s="47"/>
      <c r="C76" s="48"/>
      <c r="D76" s="49" t="s">
        <v>52</v>
      </c>
      <c r="E76" s="49"/>
      <c r="F76" s="49"/>
      <c r="G76" s="49"/>
      <c r="H76" s="49" t="s">
        <v>53</v>
      </c>
      <c r="I76" s="49"/>
      <c r="J76" s="49"/>
      <c r="K76" s="49"/>
      <c r="L76" s="49"/>
      <c r="M76" s="49"/>
    </row>
    <row r="77" customFormat="false" ht="37.5" hidden="false" customHeight="true" outlineLevel="0" collapsed="false">
      <c r="B77" s="47"/>
      <c r="C77" s="58" t="s">
        <v>54</v>
      </c>
      <c r="D77" s="39" t="s">
        <v>55</v>
      </c>
      <c r="E77" s="39"/>
      <c r="F77" s="39"/>
      <c r="G77" s="39"/>
      <c r="H77" s="59" t="s">
        <v>56</v>
      </c>
      <c r="I77" s="59"/>
      <c r="J77" s="59"/>
      <c r="K77" s="59"/>
      <c r="L77" s="59"/>
      <c r="M77" s="59"/>
    </row>
    <row r="78" customFormat="false" ht="37.5" hidden="false" customHeight="true" outlineLevel="0" collapsed="false">
      <c r="B78" s="47"/>
      <c r="C78" s="58" t="s">
        <v>57</v>
      </c>
      <c r="D78" s="39" t="s">
        <v>55</v>
      </c>
      <c r="E78" s="39"/>
      <c r="F78" s="39"/>
      <c r="G78" s="39"/>
      <c r="H78" s="39" t="s">
        <v>58</v>
      </c>
      <c r="I78" s="39"/>
      <c r="J78" s="39"/>
      <c r="K78" s="39"/>
      <c r="L78" s="39"/>
      <c r="M78" s="39"/>
    </row>
    <row r="79" customFormat="false" ht="37.5" hidden="false" customHeight="true" outlineLevel="0" collapsed="false">
      <c r="B79" s="47"/>
      <c r="C79" s="58" t="s">
        <v>59</v>
      </c>
      <c r="D79" s="39" t="s">
        <v>60</v>
      </c>
      <c r="E79" s="39"/>
      <c r="F79" s="39"/>
      <c r="G79" s="39"/>
      <c r="H79" s="39" t="s">
        <v>61</v>
      </c>
      <c r="I79" s="39"/>
      <c r="J79" s="39"/>
      <c r="K79" s="39"/>
      <c r="L79" s="39"/>
      <c r="M79" s="39"/>
    </row>
    <row r="81" customFormat="false" ht="15.75" hidden="false" customHeight="true" outlineLevel="0" collapsed="false">
      <c r="C81" s="57" t="s">
        <v>62</v>
      </c>
      <c r="D81" s="44"/>
      <c r="E81" s="42"/>
      <c r="F81" s="42"/>
      <c r="G81" s="42"/>
      <c r="H81" s="42"/>
      <c r="I81" s="42"/>
      <c r="J81" s="42"/>
      <c r="K81" s="42"/>
      <c r="L81" s="42"/>
      <c r="M81" s="43"/>
    </row>
    <row r="82" customFormat="false" ht="15.75" hidden="false" customHeight="true" outlineLevel="0" collapsed="false"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</row>
    <row r="83" customFormat="false" ht="26.25" hidden="false" customHeight="true" outlineLevel="0" collapsed="false">
      <c r="C83" s="49" t="s">
        <v>63</v>
      </c>
      <c r="D83" s="49"/>
      <c r="E83" s="49"/>
      <c r="F83" s="49"/>
      <c r="G83" s="49"/>
      <c r="H83" s="36" t="s">
        <v>64</v>
      </c>
      <c r="I83" s="36"/>
      <c r="J83" s="36"/>
      <c r="K83" s="36" t="s">
        <v>65</v>
      </c>
      <c r="L83" s="36"/>
      <c r="M83" s="36"/>
    </row>
    <row r="84" customFormat="false" ht="26.25" hidden="false" customHeight="true" outlineLevel="0" collapsed="false">
      <c r="C84" s="60" t="s">
        <v>66</v>
      </c>
      <c r="D84" s="60"/>
      <c r="E84" s="60"/>
      <c r="F84" s="60"/>
      <c r="G84" s="60"/>
      <c r="H84" s="61" t="s">
        <v>67</v>
      </c>
      <c r="I84" s="61"/>
      <c r="J84" s="61"/>
      <c r="K84" s="61" t="s">
        <v>67</v>
      </c>
      <c r="L84" s="61"/>
      <c r="M84" s="61"/>
    </row>
    <row r="85" customFormat="false" ht="26.25" hidden="false" customHeight="true" outlineLevel="0" collapsed="false">
      <c r="C85" s="60" t="s">
        <v>68</v>
      </c>
      <c r="D85" s="60"/>
      <c r="E85" s="60"/>
      <c r="F85" s="60"/>
      <c r="G85" s="60"/>
      <c r="H85" s="61" t="s">
        <v>67</v>
      </c>
      <c r="I85" s="61"/>
      <c r="J85" s="61"/>
      <c r="K85" s="61" t="s">
        <v>67</v>
      </c>
      <c r="L85" s="61"/>
      <c r="M85" s="61"/>
    </row>
    <row r="86" customFormat="false" ht="26.25" hidden="false" customHeight="true" outlineLevel="0" collapsed="false">
      <c r="C86" s="62" t="s">
        <v>69</v>
      </c>
      <c r="D86" s="62"/>
      <c r="E86" s="62"/>
      <c r="F86" s="62"/>
      <c r="G86" s="62"/>
      <c r="H86" s="61" t="s">
        <v>67</v>
      </c>
      <c r="I86" s="61"/>
      <c r="J86" s="61"/>
      <c r="K86" s="61" t="s">
        <v>67</v>
      </c>
      <c r="L86" s="61"/>
      <c r="M86" s="61"/>
    </row>
    <row r="87" customFormat="false" ht="26.25" hidden="false" customHeight="true" outlineLevel="0" collapsed="false">
      <c r="C87" s="62" t="s">
        <v>70</v>
      </c>
      <c r="D87" s="62"/>
      <c r="E87" s="62"/>
      <c r="F87" s="62"/>
      <c r="G87" s="62"/>
      <c r="H87" s="61" t="s">
        <v>67</v>
      </c>
      <c r="I87" s="61"/>
      <c r="J87" s="61"/>
      <c r="K87" s="61" t="s">
        <v>67</v>
      </c>
      <c r="L87" s="61"/>
      <c r="M87" s="61"/>
    </row>
    <row r="88" customFormat="false" ht="110.25" hidden="false" customHeight="true" outlineLevel="0" collapsed="false">
      <c r="C88" s="60" t="s">
        <v>71</v>
      </c>
      <c r="D88" s="60"/>
      <c r="E88" s="62" t="s">
        <v>72</v>
      </c>
      <c r="F88" s="62"/>
      <c r="G88" s="62"/>
      <c r="H88" s="61" t="s">
        <v>67</v>
      </c>
      <c r="I88" s="61"/>
      <c r="J88" s="61"/>
      <c r="K88" s="61" t="s">
        <v>67</v>
      </c>
      <c r="L88" s="61"/>
      <c r="M88" s="61"/>
    </row>
    <row r="89" customFormat="false" ht="26.25" hidden="false" customHeight="true" outlineLevel="0" collapsed="false">
      <c r="C89" s="62" t="s">
        <v>73</v>
      </c>
      <c r="D89" s="62"/>
      <c r="E89" s="62"/>
      <c r="F89" s="62"/>
      <c r="G89" s="62"/>
      <c r="H89" s="61" t="s">
        <v>67</v>
      </c>
      <c r="I89" s="61"/>
      <c r="J89" s="61"/>
      <c r="K89" s="61" t="s">
        <v>67</v>
      </c>
      <c r="L89" s="61"/>
      <c r="M89" s="61"/>
    </row>
    <row r="90" customFormat="false" ht="26.25" hidden="false" customHeight="true" outlineLevel="0" collapsed="false">
      <c r="C90" s="62" t="s">
        <v>74</v>
      </c>
      <c r="D90" s="62"/>
      <c r="E90" s="62"/>
      <c r="F90" s="62"/>
      <c r="G90" s="62"/>
      <c r="H90" s="61" t="s">
        <v>67</v>
      </c>
      <c r="I90" s="61"/>
      <c r="J90" s="61"/>
      <c r="K90" s="61" t="s">
        <v>67</v>
      </c>
      <c r="L90" s="61"/>
      <c r="M90" s="61"/>
    </row>
    <row r="91" customFormat="false" ht="26.25" hidden="false" customHeight="true" outlineLevel="0" collapsed="false">
      <c r="C91" s="62" t="s">
        <v>75</v>
      </c>
      <c r="D91" s="62"/>
      <c r="E91" s="62"/>
      <c r="F91" s="62"/>
      <c r="G91" s="62"/>
      <c r="H91" s="61" t="s">
        <v>67</v>
      </c>
      <c r="I91" s="61"/>
      <c r="J91" s="61"/>
      <c r="K91" s="61" t="s">
        <v>67</v>
      </c>
      <c r="L91" s="61"/>
      <c r="M91" s="61"/>
    </row>
    <row r="92" customFormat="false" ht="26.25" hidden="false" customHeight="true" outlineLevel="0" collapsed="false">
      <c r="C92" s="60" t="s">
        <v>76</v>
      </c>
      <c r="D92" s="60"/>
      <c r="E92" s="60"/>
      <c r="F92" s="60"/>
      <c r="G92" s="60"/>
      <c r="H92" s="61" t="s">
        <v>67</v>
      </c>
      <c r="I92" s="61"/>
      <c r="J92" s="61"/>
      <c r="K92" s="63" t="s">
        <v>77</v>
      </c>
      <c r="L92" s="63"/>
      <c r="M92" s="63"/>
    </row>
    <row r="93" customFormat="false" ht="26.25" hidden="false" customHeight="true" outlineLevel="0" collapsed="false">
      <c r="C93" s="60" t="s">
        <v>78</v>
      </c>
      <c r="D93" s="60"/>
      <c r="E93" s="60"/>
      <c r="F93" s="60"/>
      <c r="G93" s="60"/>
      <c r="H93" s="61" t="s">
        <v>67</v>
      </c>
      <c r="I93" s="61"/>
      <c r="J93" s="61"/>
      <c r="K93" s="63" t="s">
        <v>77</v>
      </c>
      <c r="L93" s="63"/>
      <c r="M93" s="63"/>
    </row>
    <row r="94" customFormat="false" ht="26.25" hidden="false" customHeight="true" outlineLevel="0" collapsed="false">
      <c r="C94" s="60" t="s">
        <v>79</v>
      </c>
      <c r="D94" s="60"/>
      <c r="E94" s="60"/>
      <c r="F94" s="60"/>
      <c r="G94" s="60"/>
      <c r="H94" s="61" t="s">
        <v>67</v>
      </c>
      <c r="I94" s="61"/>
      <c r="J94" s="61"/>
      <c r="K94" s="63" t="s">
        <v>77</v>
      </c>
      <c r="L94" s="63"/>
      <c r="M94" s="63"/>
    </row>
    <row r="95" customFormat="false" ht="26.25" hidden="false" customHeight="true" outlineLevel="0" collapsed="false">
      <c r="C95" s="62" t="s">
        <v>80</v>
      </c>
      <c r="D95" s="62"/>
      <c r="E95" s="62"/>
      <c r="F95" s="62"/>
      <c r="G95" s="62"/>
      <c r="H95" s="61" t="s">
        <v>67</v>
      </c>
      <c r="I95" s="61"/>
      <c r="J95" s="61"/>
      <c r="K95" s="63" t="s">
        <v>77</v>
      </c>
      <c r="L95" s="63"/>
      <c r="M95" s="63"/>
    </row>
    <row r="96" customFormat="false" ht="26.25" hidden="false" customHeight="true" outlineLevel="0" collapsed="false">
      <c r="C96" s="62" t="s">
        <v>81</v>
      </c>
      <c r="D96" s="62"/>
      <c r="E96" s="62"/>
      <c r="F96" s="62"/>
      <c r="G96" s="62"/>
      <c r="H96" s="61" t="s">
        <v>67</v>
      </c>
      <c r="I96" s="61"/>
      <c r="J96" s="61"/>
      <c r="K96" s="63" t="s">
        <v>77</v>
      </c>
      <c r="L96" s="63"/>
      <c r="M96" s="63"/>
    </row>
    <row r="97" customFormat="false" ht="26.25" hidden="false" customHeight="true" outlineLevel="0" collapsed="false">
      <c r="B97" s="47"/>
      <c r="C97" s="60" t="s">
        <v>82</v>
      </c>
      <c r="D97" s="60"/>
      <c r="E97" s="60"/>
      <c r="F97" s="60"/>
      <c r="G97" s="60"/>
      <c r="H97" s="61" t="s">
        <v>67</v>
      </c>
      <c r="I97" s="61"/>
      <c r="J97" s="61"/>
      <c r="K97" s="63" t="s">
        <v>77</v>
      </c>
      <c r="L97" s="63"/>
      <c r="M97" s="63"/>
    </row>
    <row r="98" customFormat="false" ht="26.25" hidden="false" customHeight="true" outlineLevel="0" collapsed="false">
      <c r="B98" s="47"/>
      <c r="C98" s="60" t="s">
        <v>83</v>
      </c>
      <c r="D98" s="60"/>
      <c r="E98" s="60"/>
      <c r="F98" s="60"/>
      <c r="G98" s="60"/>
      <c r="H98" s="61" t="s">
        <v>67</v>
      </c>
      <c r="I98" s="61"/>
      <c r="J98" s="61"/>
      <c r="K98" s="63" t="s">
        <v>77</v>
      </c>
      <c r="L98" s="63"/>
      <c r="M98" s="63"/>
    </row>
    <row r="99" customFormat="false" ht="26.25" hidden="false" customHeight="true" outlineLevel="0" collapsed="false">
      <c r="B99" s="47"/>
      <c r="C99" s="60" t="s">
        <v>84</v>
      </c>
      <c r="D99" s="60"/>
      <c r="E99" s="60"/>
      <c r="F99" s="60"/>
      <c r="G99" s="60"/>
      <c r="H99" s="63" t="s">
        <v>77</v>
      </c>
      <c r="I99" s="63"/>
      <c r="J99" s="63"/>
      <c r="K99" s="61" t="s">
        <v>67</v>
      </c>
      <c r="L99" s="61"/>
      <c r="M99" s="61"/>
    </row>
    <row r="100" customFormat="false" ht="26.25" hidden="false" customHeight="true" outlineLevel="0" collapsed="false">
      <c r="B100" s="47"/>
      <c r="C100" s="60" t="s">
        <v>85</v>
      </c>
      <c r="D100" s="60"/>
      <c r="E100" s="60"/>
      <c r="F100" s="60"/>
      <c r="G100" s="60"/>
      <c r="H100" s="58" t="s">
        <v>86</v>
      </c>
      <c r="I100" s="58"/>
      <c r="J100" s="58"/>
      <c r="K100" s="37" t="s">
        <v>87</v>
      </c>
      <c r="L100" s="37"/>
      <c r="M100" s="37"/>
    </row>
    <row r="101" customFormat="false" ht="15.75" hidden="false" customHeight="true" outlineLevel="0" collapsed="false"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</row>
    <row r="102" customFormat="false" ht="15.75" hidden="false" customHeight="true" outlineLevel="0" collapsed="false">
      <c r="B102" s="47"/>
      <c r="C102" s="64" t="s">
        <v>88</v>
      </c>
      <c r="D102" s="47"/>
      <c r="E102" s="47"/>
      <c r="F102" s="47"/>
      <c r="G102" s="47"/>
      <c r="H102" s="47"/>
      <c r="I102" s="47"/>
      <c r="J102" s="47"/>
      <c r="K102" s="47"/>
      <c r="L102" s="47"/>
      <c r="M102" s="47"/>
    </row>
    <row r="103" customFormat="false" ht="15.75" hidden="false" customHeight="true" outlineLevel="0" collapsed="false"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</row>
    <row r="104" customFormat="false" ht="15.75" hidden="false" customHeight="true" outlineLevel="0" collapsed="false">
      <c r="B104" s="52" t="s">
        <v>89</v>
      </c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</row>
    <row r="127" customFormat="false" ht="15.75" hidden="false" customHeight="true" outlineLevel="0" collapsed="false">
      <c r="C127" s="49" t="s">
        <v>90</v>
      </c>
      <c r="D127" s="36" t="s">
        <v>91</v>
      </c>
      <c r="E127" s="36"/>
      <c r="F127" s="36"/>
      <c r="G127" s="49" t="s">
        <v>92</v>
      </c>
      <c r="H127" s="49"/>
      <c r="I127" s="49"/>
      <c r="J127" s="49" t="s">
        <v>34</v>
      </c>
      <c r="K127" s="49"/>
      <c r="L127" s="49"/>
      <c r="M127" s="49"/>
    </row>
    <row r="128" customFormat="false" ht="15.75" hidden="false" customHeight="true" outlineLevel="0" collapsed="false">
      <c r="C128" s="58" t="s">
        <v>93</v>
      </c>
      <c r="D128" s="38" t="s">
        <v>94</v>
      </c>
      <c r="E128" s="38"/>
      <c r="F128" s="38"/>
      <c r="G128" s="65" t="n">
        <v>8</v>
      </c>
      <c r="H128" s="65"/>
      <c r="I128" s="65"/>
      <c r="J128" s="38" t="s">
        <v>95</v>
      </c>
      <c r="K128" s="38"/>
      <c r="L128" s="38"/>
      <c r="M128" s="38"/>
    </row>
    <row r="129" customFormat="false" ht="15.75" hidden="false" customHeight="true" outlineLevel="0" collapsed="false">
      <c r="B129" s="47"/>
      <c r="C129" s="58"/>
      <c r="D129" s="38" t="s">
        <v>96</v>
      </c>
      <c r="E129" s="38"/>
      <c r="F129" s="38"/>
      <c r="G129" s="65" t="n">
        <v>45</v>
      </c>
      <c r="H129" s="65"/>
      <c r="I129" s="65"/>
      <c r="J129" s="38" t="s">
        <v>97</v>
      </c>
      <c r="K129" s="38"/>
      <c r="L129" s="38"/>
      <c r="M129" s="38"/>
    </row>
    <row r="130" customFormat="false" ht="15.75" hidden="false" customHeight="true" outlineLevel="0" collapsed="false">
      <c r="B130" s="47"/>
      <c r="C130" s="58"/>
      <c r="D130" s="38" t="s">
        <v>98</v>
      </c>
      <c r="E130" s="38"/>
      <c r="F130" s="38"/>
      <c r="G130" s="65" t="n">
        <v>18</v>
      </c>
      <c r="H130" s="65"/>
      <c r="I130" s="65"/>
      <c r="J130" s="38" t="s">
        <v>99</v>
      </c>
      <c r="K130" s="38"/>
      <c r="L130" s="38"/>
      <c r="M130" s="38"/>
    </row>
    <row r="131" customFormat="false" ht="15.75" hidden="false" customHeight="true" outlineLevel="0" collapsed="false">
      <c r="B131" s="47"/>
      <c r="C131" s="58"/>
      <c r="D131" s="38" t="s">
        <v>100</v>
      </c>
      <c r="E131" s="38"/>
      <c r="F131" s="38"/>
      <c r="G131" s="65" t="n">
        <v>22</v>
      </c>
      <c r="H131" s="65"/>
      <c r="I131" s="65"/>
      <c r="J131" s="38" t="s">
        <v>101</v>
      </c>
      <c r="K131" s="38"/>
      <c r="L131" s="38"/>
      <c r="M131" s="38"/>
    </row>
    <row r="132" customFormat="false" ht="15.75" hidden="false" customHeight="true" outlineLevel="0" collapsed="false">
      <c r="B132" s="47"/>
      <c r="C132" s="58"/>
      <c r="D132" s="38" t="s">
        <v>102</v>
      </c>
      <c r="E132" s="38"/>
      <c r="F132" s="38"/>
      <c r="G132" s="65" t="n">
        <v>1</v>
      </c>
      <c r="H132" s="65"/>
      <c r="I132" s="65"/>
      <c r="J132" s="38" t="s">
        <v>103</v>
      </c>
      <c r="K132" s="38"/>
      <c r="L132" s="38"/>
      <c r="M132" s="38"/>
    </row>
    <row r="133" customFormat="false" ht="15.75" hidden="false" customHeight="true" outlineLevel="0" collapsed="false">
      <c r="B133" s="47"/>
      <c r="C133" s="58"/>
      <c r="D133" s="38" t="s">
        <v>104</v>
      </c>
      <c r="E133" s="38"/>
      <c r="F133" s="38"/>
      <c r="G133" s="66" t="n">
        <v>0.5</v>
      </c>
      <c r="H133" s="66"/>
      <c r="I133" s="66"/>
      <c r="J133" s="38"/>
      <c r="K133" s="38"/>
      <c r="L133" s="38"/>
      <c r="M133" s="38"/>
    </row>
    <row r="134" customFormat="false" ht="15.75" hidden="false" customHeight="true" outlineLevel="0" collapsed="false">
      <c r="B134" s="47"/>
      <c r="C134" s="58"/>
      <c r="D134" s="38" t="s">
        <v>105</v>
      </c>
      <c r="E134" s="38"/>
      <c r="F134" s="38"/>
      <c r="G134" s="65" t="n">
        <v>5</v>
      </c>
      <c r="H134" s="65"/>
      <c r="I134" s="65"/>
      <c r="J134" s="38"/>
      <c r="K134" s="38"/>
      <c r="L134" s="38"/>
      <c r="M134" s="38"/>
    </row>
    <row r="135" customFormat="false" ht="15.75" hidden="false" customHeight="true" outlineLevel="0" collapsed="false">
      <c r="B135" s="47"/>
      <c r="C135" s="58"/>
      <c r="D135" s="38" t="s">
        <v>106</v>
      </c>
      <c r="E135" s="38"/>
      <c r="F135" s="38"/>
      <c r="G135" s="65" t="n">
        <v>1</v>
      </c>
      <c r="H135" s="65"/>
      <c r="I135" s="65"/>
      <c r="J135" s="38"/>
      <c r="K135" s="38"/>
      <c r="L135" s="38"/>
      <c r="M135" s="38"/>
    </row>
    <row r="136" customFormat="false" ht="15.75" hidden="false" customHeight="true" outlineLevel="0" collapsed="false">
      <c r="B136" s="47"/>
      <c r="C136" s="67" t="s">
        <v>107</v>
      </c>
      <c r="D136" s="67"/>
      <c r="E136" s="67"/>
      <c r="F136" s="67"/>
      <c r="G136" s="68" t="n">
        <v>101.5</v>
      </c>
      <c r="H136" s="68"/>
      <c r="I136" s="68"/>
      <c r="J136" s="38"/>
      <c r="K136" s="38"/>
      <c r="L136" s="38"/>
      <c r="M136" s="38"/>
    </row>
    <row r="137" customFormat="false" ht="15.75" hidden="false" customHeight="true" outlineLevel="0" collapsed="false"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</row>
    <row r="138" customFormat="false" ht="15.75" hidden="false" customHeight="true" outlineLevel="0" collapsed="false">
      <c r="B138" s="69" t="s">
        <v>108</v>
      </c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</row>
    <row r="139" customFormat="false" ht="15.75" hidden="false" customHeight="true" outlineLevel="0" collapsed="false">
      <c r="B139" s="47"/>
      <c r="C139" s="70" t="s">
        <v>109</v>
      </c>
      <c r="D139" s="71" t="s">
        <v>110</v>
      </c>
      <c r="E139" s="47"/>
      <c r="F139" s="47"/>
      <c r="G139" s="47"/>
      <c r="H139" s="47"/>
      <c r="I139" s="47"/>
      <c r="J139" s="47"/>
      <c r="K139" s="47"/>
      <c r="L139" s="47"/>
      <c r="M139" s="47"/>
    </row>
    <row r="140" customFormat="false" ht="15.75" hidden="false" customHeight="true" outlineLevel="0" collapsed="false">
      <c r="B140" s="47"/>
      <c r="C140" s="70"/>
      <c r="D140" s="71" t="s">
        <v>111</v>
      </c>
      <c r="E140" s="47"/>
      <c r="F140" s="47"/>
      <c r="G140" s="47"/>
      <c r="H140" s="47"/>
      <c r="I140" s="47"/>
      <c r="J140" s="47"/>
      <c r="K140" s="47"/>
      <c r="L140" s="47"/>
      <c r="M140" s="47"/>
    </row>
    <row r="141" customFormat="false" ht="15.75" hidden="false" customHeight="true" outlineLevel="0" collapsed="false">
      <c r="B141" s="47"/>
      <c r="C141" s="47"/>
      <c r="E141" s="47"/>
      <c r="F141" s="47"/>
      <c r="G141" s="47"/>
      <c r="H141" s="47"/>
      <c r="I141" s="47"/>
      <c r="J141" s="47"/>
      <c r="K141" s="47"/>
      <c r="L141" s="47"/>
      <c r="M141" s="47"/>
    </row>
    <row r="142" customFormat="false" ht="15.75" hidden="false" customHeight="true" outlineLevel="0" collapsed="false">
      <c r="B142" s="30" t="s">
        <v>112</v>
      </c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</row>
    <row r="143" customFormat="false" ht="15.75" hidden="false" customHeight="true" outlineLevel="0" collapsed="false">
      <c r="B143" s="31" t="s">
        <v>113</v>
      </c>
      <c r="C143" s="44"/>
      <c r="D143" s="42"/>
      <c r="E143" s="42"/>
      <c r="F143" s="42"/>
      <c r="G143" s="42"/>
      <c r="H143" s="42"/>
      <c r="I143" s="42"/>
      <c r="J143" s="42"/>
      <c r="K143" s="42"/>
      <c r="L143" s="43"/>
      <c r="M143" s="45"/>
    </row>
    <row r="144" customFormat="false" ht="15.75" hidden="false" customHeight="true" outlineLevel="0" collapsed="false">
      <c r="B144" s="46"/>
      <c r="C144" s="48" t="s">
        <v>15</v>
      </c>
      <c r="D144" s="35" t="s">
        <v>114</v>
      </c>
      <c r="E144" s="35"/>
      <c r="F144" s="35"/>
      <c r="G144" s="49" t="s">
        <v>115</v>
      </c>
      <c r="H144" s="49"/>
      <c r="I144" s="49"/>
      <c r="J144" s="49" t="s">
        <v>34</v>
      </c>
      <c r="K144" s="49"/>
      <c r="L144" s="49"/>
      <c r="M144" s="49"/>
    </row>
    <row r="145" customFormat="false" ht="15.75" hidden="false" customHeight="true" outlineLevel="0" collapsed="false">
      <c r="B145" s="46"/>
      <c r="C145" s="37" t="n">
        <v>1</v>
      </c>
      <c r="D145" s="38" t="s">
        <v>116</v>
      </c>
      <c r="E145" s="38"/>
      <c r="F145" s="38"/>
      <c r="G145" s="38" t="s">
        <v>117</v>
      </c>
      <c r="H145" s="38"/>
      <c r="I145" s="38"/>
      <c r="J145" s="38"/>
      <c r="K145" s="38"/>
      <c r="L145" s="38"/>
      <c r="M145" s="38"/>
      <c r="N145" s="26"/>
      <c r="O145" s="26"/>
    </row>
    <row r="146" customFormat="false" ht="15.75" hidden="false" customHeight="true" outlineLevel="0" collapsed="false">
      <c r="B146" s="46"/>
      <c r="C146" s="37" t="n">
        <v>2</v>
      </c>
      <c r="D146" s="38"/>
      <c r="E146" s="38"/>
      <c r="F146" s="38"/>
      <c r="G146" s="38" t="s">
        <v>118</v>
      </c>
      <c r="H146" s="38"/>
      <c r="I146" s="38"/>
      <c r="J146" s="39" t="s">
        <v>119</v>
      </c>
      <c r="K146" s="39"/>
      <c r="L146" s="39"/>
      <c r="M146" s="39"/>
      <c r="N146" s="26"/>
      <c r="O146" s="26"/>
    </row>
    <row r="147" customFormat="false" ht="15.75" hidden="false" customHeight="true" outlineLevel="0" collapsed="false">
      <c r="B147" s="46"/>
      <c r="C147" s="37" t="n">
        <v>3</v>
      </c>
      <c r="D147" s="38" t="s">
        <v>120</v>
      </c>
      <c r="E147" s="38"/>
      <c r="F147" s="38"/>
      <c r="G147" s="38" t="s">
        <v>121</v>
      </c>
      <c r="H147" s="38"/>
      <c r="I147" s="38"/>
      <c r="J147" s="39" t="s">
        <v>122</v>
      </c>
      <c r="K147" s="39"/>
      <c r="L147" s="39"/>
      <c r="M147" s="39"/>
      <c r="N147" s="26"/>
      <c r="O147" s="26"/>
    </row>
    <row r="148" customFormat="false" ht="15.75" hidden="false" customHeight="true" outlineLevel="0" collapsed="false">
      <c r="B148" s="46"/>
      <c r="C148" s="46"/>
      <c r="D148" s="42"/>
      <c r="E148" s="42"/>
      <c r="F148" s="42"/>
      <c r="G148" s="42"/>
      <c r="H148" s="72"/>
      <c r="I148" s="72"/>
      <c r="J148" s="42"/>
      <c r="K148" s="26"/>
      <c r="L148" s="26"/>
      <c r="M148" s="26"/>
      <c r="N148" s="26"/>
      <c r="O148" s="26"/>
    </row>
    <row r="149" customFormat="false" ht="15.75" hidden="false" customHeight="true" outlineLevel="0" collapsed="false">
      <c r="B149" s="69" t="s">
        <v>123</v>
      </c>
      <c r="C149" s="46"/>
      <c r="D149" s="26"/>
      <c r="E149" s="42"/>
      <c r="F149" s="26"/>
      <c r="G149" s="42"/>
      <c r="H149" s="26"/>
      <c r="I149" s="26"/>
      <c r="J149" s="42"/>
      <c r="K149" s="26"/>
      <c r="L149" s="26"/>
      <c r="M149" s="26"/>
      <c r="N149" s="26"/>
      <c r="O149" s="26"/>
    </row>
    <row r="150" customFormat="false" ht="15.75" hidden="false" customHeight="true" outlineLevel="0" collapsed="false"/>
    <row r="151" customFormat="false" ht="15.75" hidden="false" customHeight="true" outlineLevel="0" collapsed="false">
      <c r="B151" s="30" t="s">
        <v>124</v>
      </c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</row>
    <row r="174" customFormat="false" ht="15.75" hidden="false" customHeight="true" outlineLevel="0" collapsed="false">
      <c r="B174" s="69" t="s">
        <v>125</v>
      </c>
    </row>
    <row r="178" customFormat="false" ht="15.75" hidden="false" customHeight="true" outlineLevel="0" collapsed="false">
      <c r="B178" s="30" t="s">
        <v>126</v>
      </c>
      <c r="C178" s="30"/>
      <c r="D178" s="30"/>
      <c r="E178" s="30"/>
      <c r="F178" s="42"/>
      <c r="G178" s="42"/>
      <c r="H178" s="42"/>
      <c r="I178" s="42"/>
      <c r="J178" s="42"/>
      <c r="K178" s="42"/>
    </row>
    <row r="179" customFormat="false" ht="15.75" hidden="false" customHeight="true" outlineLevel="0" collapsed="false">
      <c r="B179" s="26"/>
      <c r="C179" s="73"/>
      <c r="D179" s="73"/>
      <c r="E179" s="73"/>
      <c r="F179" s="73"/>
      <c r="G179" s="73"/>
      <c r="H179" s="73"/>
      <c r="I179" s="73"/>
      <c r="J179" s="73"/>
      <c r="K179" s="73"/>
    </row>
    <row r="180" customFormat="false" ht="15.75" hidden="false" customHeight="true" outlineLevel="0" collapsed="false"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 customFormat="false" ht="15.75" hidden="false" customHeight="true" outlineLevel="0" collapsed="false">
      <c r="B181" s="30"/>
      <c r="C181" s="30"/>
      <c r="D181" s="30"/>
      <c r="E181" s="30"/>
      <c r="F181" s="74"/>
      <c r="G181" s="74"/>
      <c r="H181" s="74"/>
      <c r="I181" s="74"/>
      <c r="J181" s="74"/>
      <c r="K181" s="74"/>
    </row>
    <row r="204" customFormat="false" ht="15.75" hidden="false" customHeight="true" outlineLevel="0" collapsed="false">
      <c r="B204" s="30" t="s">
        <v>127</v>
      </c>
      <c r="C204" s="30"/>
      <c r="D204" s="30"/>
      <c r="E204" s="30"/>
      <c r="F204" s="74"/>
      <c r="G204" s="74"/>
      <c r="H204" s="74"/>
      <c r="I204" s="74"/>
      <c r="J204" s="74"/>
      <c r="K204" s="74"/>
      <c r="L204" s="74"/>
      <c r="M204" s="74"/>
    </row>
    <row r="205" customFormat="false" ht="15.75" hidden="false" customHeight="true" outlineLevel="0" collapsed="false">
      <c r="B205" s="75" t="s">
        <v>128</v>
      </c>
      <c r="C205" s="76"/>
      <c r="D205" s="26"/>
      <c r="E205" s="26"/>
      <c r="F205" s="26"/>
      <c r="G205" s="26"/>
      <c r="H205" s="26"/>
      <c r="I205" s="26"/>
      <c r="J205" s="26"/>
      <c r="K205" s="26"/>
      <c r="L205" s="26"/>
      <c r="M205" s="26"/>
    </row>
    <row r="206" customFormat="false" ht="15.75" hidden="false" customHeight="true" outlineLevel="0" collapsed="false">
      <c r="B206" s="26"/>
      <c r="C206" s="77" t="s">
        <v>129</v>
      </c>
      <c r="D206" s="77"/>
      <c r="E206" s="77"/>
      <c r="F206" s="77"/>
      <c r="G206" s="77"/>
      <c r="H206" s="77"/>
      <c r="I206" s="77"/>
      <c r="J206" s="77"/>
      <c r="K206" s="77"/>
      <c r="L206" s="77"/>
      <c r="M206" s="77"/>
    </row>
    <row r="207" customFormat="false" ht="15.75" hidden="false" customHeight="true" outlineLevel="0" collapsed="false">
      <c r="B207" s="78"/>
      <c r="C207" s="79" t="s">
        <v>15</v>
      </c>
      <c r="D207" s="80" t="s">
        <v>16</v>
      </c>
      <c r="E207" s="80"/>
      <c r="F207" s="80" t="s">
        <v>130</v>
      </c>
      <c r="G207" s="80"/>
      <c r="H207" s="80"/>
      <c r="I207" s="80"/>
      <c r="J207" s="80"/>
      <c r="K207" s="80"/>
      <c r="L207" s="80"/>
      <c r="M207" s="80"/>
    </row>
    <row r="208" customFormat="false" ht="15.75" hidden="false" customHeight="true" outlineLevel="0" collapsed="false">
      <c r="B208" s="78"/>
      <c r="C208" s="81" t="n">
        <v>1</v>
      </c>
      <c r="D208" s="82" t="s">
        <v>131</v>
      </c>
      <c r="E208" s="82"/>
      <c r="F208" s="83" t="s">
        <v>132</v>
      </c>
      <c r="G208" s="83"/>
      <c r="H208" s="83"/>
      <c r="I208" s="83"/>
      <c r="J208" s="83"/>
      <c r="K208" s="83"/>
      <c r="L208" s="83"/>
      <c r="M208" s="83"/>
    </row>
    <row r="209" customFormat="false" ht="15.75" hidden="false" customHeight="true" outlineLevel="0" collapsed="false">
      <c r="B209" s="78"/>
      <c r="C209" s="81" t="n">
        <v>2</v>
      </c>
      <c r="D209" s="82" t="s">
        <v>133</v>
      </c>
      <c r="E209" s="82"/>
      <c r="F209" s="84" t="s">
        <v>133</v>
      </c>
      <c r="G209" s="84"/>
      <c r="H209" s="84"/>
      <c r="I209" s="84"/>
      <c r="J209" s="84"/>
      <c r="K209" s="84"/>
      <c r="L209" s="84"/>
      <c r="M209" s="84"/>
    </row>
    <row r="210" customFormat="false" ht="15.75" hidden="false" customHeight="true" outlineLevel="0" collapsed="false">
      <c r="B210" s="26"/>
      <c r="C210" s="81" t="n">
        <v>3</v>
      </c>
      <c r="D210" s="82" t="s">
        <v>134</v>
      </c>
      <c r="E210" s="82"/>
      <c r="F210" s="85" t="s">
        <v>135</v>
      </c>
      <c r="G210" s="85"/>
      <c r="H210" s="85"/>
      <c r="I210" s="85"/>
      <c r="J210" s="85"/>
      <c r="K210" s="85"/>
      <c r="L210" s="85"/>
      <c r="M210" s="85"/>
    </row>
    <row r="211" customFormat="false" ht="15.75" hidden="false" customHeight="true" outlineLevel="0" collapsed="false">
      <c r="B211" s="26"/>
      <c r="C211" s="41"/>
      <c r="D211" s="86"/>
      <c r="E211" s="34"/>
      <c r="F211" s="87"/>
      <c r="G211" s="34"/>
      <c r="H211" s="34"/>
      <c r="I211" s="34"/>
      <c r="J211" s="34"/>
      <c r="K211" s="34"/>
      <c r="L211" s="34"/>
      <c r="M211" s="34"/>
    </row>
    <row r="212" customFormat="false" ht="15.75" hidden="false" customHeight="true" outlineLevel="0" collapsed="false">
      <c r="B212" s="26"/>
      <c r="C212" s="76"/>
      <c r="D212" s="76"/>
      <c r="E212" s="76"/>
      <c r="F212" s="26"/>
      <c r="G212" s="26"/>
      <c r="H212" s="26"/>
      <c r="I212" s="26"/>
      <c r="J212" s="26"/>
      <c r="K212" s="26"/>
      <c r="L212" s="26"/>
      <c r="M212" s="26"/>
    </row>
    <row r="213" customFormat="false" ht="15.75" hidden="false" customHeight="true" outlineLevel="0" collapsed="false">
      <c r="B213" s="30" t="s">
        <v>136</v>
      </c>
      <c r="C213" s="30"/>
      <c r="D213" s="30"/>
      <c r="E213" s="30"/>
      <c r="F213" s="26"/>
      <c r="G213" s="26"/>
      <c r="H213" s="26"/>
      <c r="I213" s="26"/>
      <c r="J213" s="26"/>
      <c r="K213" s="26"/>
      <c r="L213" s="26"/>
      <c r="M213" s="26"/>
    </row>
    <row r="214" customFormat="false" ht="15.75" hidden="false" customHeight="true" outlineLevel="0" collapsed="false">
      <c r="B214" s="75" t="s">
        <v>137</v>
      </c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</row>
    <row r="215" customFormat="false" ht="15.75" hidden="false" customHeight="true" outlineLevel="0" collapsed="false">
      <c r="B215" s="75" t="s">
        <v>138</v>
      </c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</row>
    <row r="216" customFormat="false" ht="15.75" hidden="false" customHeight="true" outlineLevel="0" collapsed="false">
      <c r="B216" s="75" t="s">
        <v>139</v>
      </c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</row>
    <row r="217" customFormat="false" ht="15.75" hidden="false" customHeight="true" outlineLevel="0" collapsed="false">
      <c r="B217" s="75" t="s">
        <v>140</v>
      </c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</row>
    <row r="218" customFormat="false" ht="15.75" hidden="false" customHeight="true" outlineLevel="0" collapsed="false">
      <c r="B218" s="75" t="s">
        <v>141</v>
      </c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</row>
    <row r="219" customFormat="false" ht="15.75" hidden="false" customHeight="true" outlineLevel="0" collapsed="false">
      <c r="B219" s="75" t="s">
        <v>142</v>
      </c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</row>
    <row r="220" customFormat="false" ht="18.75" hidden="false" customHeight="true" outlineLevel="0" collapsed="false">
      <c r="B220" s="75" t="s">
        <v>143</v>
      </c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</row>
  </sheetData>
  <mergeCells count="144">
    <mergeCell ref="F2:H2"/>
    <mergeCell ref="L2:M2"/>
    <mergeCell ref="B4:M4"/>
    <mergeCell ref="D7:F7"/>
    <mergeCell ref="G7:K7"/>
    <mergeCell ref="L7:M7"/>
    <mergeCell ref="D8:F8"/>
    <mergeCell ref="G8:K8"/>
    <mergeCell ref="L8:M8"/>
    <mergeCell ref="B11:M11"/>
    <mergeCell ref="B21:M21"/>
    <mergeCell ref="D23:F23"/>
    <mergeCell ref="G23:I23"/>
    <mergeCell ref="J23:M23"/>
    <mergeCell ref="D24:F24"/>
    <mergeCell ref="G24:I24"/>
    <mergeCell ref="J24:M24"/>
    <mergeCell ref="D25:F25"/>
    <mergeCell ref="G25:I25"/>
    <mergeCell ref="J25:M25"/>
    <mergeCell ref="D26:F26"/>
    <mergeCell ref="G26:I26"/>
    <mergeCell ref="J26:M26"/>
    <mergeCell ref="D76:G76"/>
    <mergeCell ref="H76:M76"/>
    <mergeCell ref="D77:G77"/>
    <mergeCell ref="H77:M77"/>
    <mergeCell ref="D78:G78"/>
    <mergeCell ref="H78:M78"/>
    <mergeCell ref="D79:G79"/>
    <mergeCell ref="H79:M79"/>
    <mergeCell ref="C83:G83"/>
    <mergeCell ref="H83:J83"/>
    <mergeCell ref="K83:M83"/>
    <mergeCell ref="C84:G84"/>
    <mergeCell ref="H84:J84"/>
    <mergeCell ref="K84:M84"/>
    <mergeCell ref="C85:G85"/>
    <mergeCell ref="H85:J85"/>
    <mergeCell ref="K85:M85"/>
    <mergeCell ref="C86:G86"/>
    <mergeCell ref="H86:J86"/>
    <mergeCell ref="K86:M86"/>
    <mergeCell ref="C87:G87"/>
    <mergeCell ref="H87:J87"/>
    <mergeCell ref="K87:M87"/>
    <mergeCell ref="C88:D88"/>
    <mergeCell ref="E88:G88"/>
    <mergeCell ref="H88:J88"/>
    <mergeCell ref="K88:M88"/>
    <mergeCell ref="C89:G89"/>
    <mergeCell ref="H89:J89"/>
    <mergeCell ref="K89:M89"/>
    <mergeCell ref="C90:G90"/>
    <mergeCell ref="H90:J90"/>
    <mergeCell ref="K90:M90"/>
    <mergeCell ref="C91:G91"/>
    <mergeCell ref="H91:J91"/>
    <mergeCell ref="K91:M91"/>
    <mergeCell ref="C92:G92"/>
    <mergeCell ref="H92:J92"/>
    <mergeCell ref="K92:M92"/>
    <mergeCell ref="C93:G93"/>
    <mergeCell ref="H93:J93"/>
    <mergeCell ref="K93:M93"/>
    <mergeCell ref="C94:G94"/>
    <mergeCell ref="H94:J94"/>
    <mergeCell ref="K94:M94"/>
    <mergeCell ref="C95:G95"/>
    <mergeCell ref="H95:J95"/>
    <mergeCell ref="K95:M95"/>
    <mergeCell ref="C96:G96"/>
    <mergeCell ref="H96:J96"/>
    <mergeCell ref="K96:M96"/>
    <mergeCell ref="C97:G97"/>
    <mergeCell ref="H97:J97"/>
    <mergeCell ref="K97:M97"/>
    <mergeCell ref="C98:G98"/>
    <mergeCell ref="H98:J98"/>
    <mergeCell ref="K98:M98"/>
    <mergeCell ref="C99:G99"/>
    <mergeCell ref="H99:J99"/>
    <mergeCell ref="K99:M99"/>
    <mergeCell ref="C100:G100"/>
    <mergeCell ref="H100:J100"/>
    <mergeCell ref="K100:M100"/>
    <mergeCell ref="D127:F127"/>
    <mergeCell ref="G127:I127"/>
    <mergeCell ref="J127:M127"/>
    <mergeCell ref="C128:C135"/>
    <mergeCell ref="D128:F128"/>
    <mergeCell ref="G128:I128"/>
    <mergeCell ref="J128:M128"/>
    <mergeCell ref="D129:F129"/>
    <mergeCell ref="G129:I129"/>
    <mergeCell ref="J129:M129"/>
    <mergeCell ref="D130:F130"/>
    <mergeCell ref="G130:I130"/>
    <mergeCell ref="J130:M130"/>
    <mergeCell ref="D131:F131"/>
    <mergeCell ref="G131:I131"/>
    <mergeCell ref="J131:M131"/>
    <mergeCell ref="D132:F132"/>
    <mergeCell ref="G132:I132"/>
    <mergeCell ref="J132:M132"/>
    <mergeCell ref="D133:F133"/>
    <mergeCell ref="G133:I133"/>
    <mergeCell ref="J133:M133"/>
    <mergeCell ref="D134:F134"/>
    <mergeCell ref="G134:I134"/>
    <mergeCell ref="J134:M134"/>
    <mergeCell ref="D135:F135"/>
    <mergeCell ref="G135:I135"/>
    <mergeCell ref="J135:M135"/>
    <mergeCell ref="C136:F136"/>
    <mergeCell ref="G136:I136"/>
    <mergeCell ref="J136:M136"/>
    <mergeCell ref="B142:M142"/>
    <mergeCell ref="D144:F144"/>
    <mergeCell ref="G144:I144"/>
    <mergeCell ref="J144:M144"/>
    <mergeCell ref="D145:F146"/>
    <mergeCell ref="G145:I145"/>
    <mergeCell ref="J145:M145"/>
    <mergeCell ref="G146:I146"/>
    <mergeCell ref="J146:M146"/>
    <mergeCell ref="D147:F147"/>
    <mergeCell ref="G147:I147"/>
    <mergeCell ref="J147:M147"/>
    <mergeCell ref="B151:O151"/>
    <mergeCell ref="B178:E178"/>
    <mergeCell ref="C179:K179"/>
    <mergeCell ref="B181:E181"/>
    <mergeCell ref="B204:E204"/>
    <mergeCell ref="C206:M206"/>
    <mergeCell ref="D207:E207"/>
    <mergeCell ref="F207:M207"/>
    <mergeCell ref="D208:E208"/>
    <mergeCell ref="F208:M208"/>
    <mergeCell ref="D209:E209"/>
    <mergeCell ref="F209:M209"/>
    <mergeCell ref="D210:E210"/>
    <mergeCell ref="F210:M210"/>
    <mergeCell ref="B213:E213"/>
  </mergeCells>
  <hyperlinks>
    <hyperlink ref="C29" r:id="rId1" display="https://my-neo4j-movies-app.herokuapp.com/"/>
    <hyperlink ref="C102" r:id="rId2" location="graph-database" display="詳細の仕様はこちらのリンクをご参照いただければと思います -&gt; https://neo4j.com/pricing/#graph-database"/>
    <hyperlink ref="D139" r:id="rId3" display="https://d32ze2gidvkk54.cloudfront.net/Amazon_Route_53_Domain_Registration_Pricing_20140731.pdf"/>
    <hyperlink ref="D140" r:id="rId4" display="https://calculator.aws/#/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&amp;RPage &amp;P</odd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01"/>
  <sheetViews>
    <sheetView showFormulas="false" showGridLines="false" showRowColHeaders="true" showZeros="true" rightToLeft="false" tabSelected="false" showOutlineSymbols="true" defaultGridColor="true" view="normal" topLeftCell="A97" colorId="64" zoomScale="120" zoomScaleNormal="120" zoomScalePageLayoutView="100" workbookViewId="0">
      <selection pane="topLeft" activeCell="G26" activeCellId="0" sqref="G2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2" min="1" style="1" width="6.43"/>
    <col collapsed="false" customWidth="true" hidden="false" outlineLevel="0" max="3" min="3" style="1" width="8.71"/>
    <col collapsed="false" customWidth="true" hidden="false" outlineLevel="0" max="9" min="4" style="1" width="15.14"/>
    <col collapsed="false" customWidth="true" hidden="false" outlineLevel="0" max="11" min="10" style="1" width="20.71"/>
    <col collapsed="false" customWidth="true" hidden="false" outlineLevel="0" max="12" min="12" style="1" width="17.71"/>
    <col collapsed="false" customWidth="true" hidden="false" outlineLevel="0" max="13" min="13" style="1" width="6.43"/>
    <col collapsed="false" customWidth="true" hidden="false" outlineLevel="0" max="14" min="14" style="1" width="7.42"/>
    <col collapsed="false" customWidth="true" hidden="false" outlineLevel="0" max="25" min="15" style="1" width="12.42"/>
    <col collapsed="false" customWidth="false" hidden="false" outlineLevel="0" max="16384" min="26" style="1" width="14.42"/>
  </cols>
  <sheetData>
    <row r="2" customFormat="false" ht="45" hidden="false" customHeight="true" outlineLevel="0" collapsed="false">
      <c r="B2" s="25" t="s">
        <v>11</v>
      </c>
      <c r="F2" s="88"/>
      <c r="G2" s="88"/>
      <c r="H2" s="89"/>
      <c r="K2" s="90"/>
      <c r="L2" s="90"/>
    </row>
    <row r="3" customFormat="false" ht="15.75" hidden="false" customHeight="true" outlineLevel="0" collapsed="false"/>
    <row r="4" customFormat="false" ht="19.5" hidden="false" customHeight="true" outlineLevel="0" collapsed="false">
      <c r="B4" s="30" t="s">
        <v>144</v>
      </c>
      <c r="C4" s="30"/>
      <c r="D4" s="30"/>
      <c r="E4" s="30"/>
      <c r="F4" s="30"/>
      <c r="G4" s="30"/>
      <c r="H4" s="30"/>
      <c r="I4" s="30"/>
      <c r="J4" s="30"/>
      <c r="K4" s="30"/>
      <c r="L4" s="30"/>
    </row>
    <row r="5" customFormat="false" ht="18" hidden="false" customHeight="true" outlineLevel="0" collapsed="false">
      <c r="B5" s="31" t="s">
        <v>13</v>
      </c>
      <c r="C5" s="91"/>
      <c r="D5" s="91"/>
      <c r="E5" s="91"/>
      <c r="F5" s="91"/>
      <c r="G5" s="91"/>
      <c r="H5" s="91"/>
      <c r="I5" s="91"/>
      <c r="J5" s="91"/>
      <c r="K5" s="91"/>
      <c r="L5" s="91"/>
    </row>
    <row r="6" customFormat="false" ht="18" hidden="false" customHeight="true" outlineLevel="0" collapsed="false">
      <c r="B6" s="33" t="s">
        <v>14</v>
      </c>
      <c r="C6" s="6"/>
    </row>
    <row r="7" customFormat="false" ht="15.75" hidden="false" customHeight="true" outlineLevel="0" collapsed="false">
      <c r="B7" s="6"/>
      <c r="C7" s="6"/>
    </row>
    <row r="8" customFormat="false" ht="19.5" hidden="false" customHeight="true" outlineLevel="0" collapsed="false">
      <c r="C8" s="92" t="s">
        <v>15</v>
      </c>
      <c r="D8" s="93" t="s">
        <v>16</v>
      </c>
      <c r="E8" s="93"/>
      <c r="F8" s="93"/>
      <c r="G8" s="36" t="s">
        <v>17</v>
      </c>
      <c r="H8" s="36"/>
      <c r="I8" s="36"/>
      <c r="J8" s="36"/>
      <c r="K8" s="36" t="s">
        <v>18</v>
      </c>
      <c r="L8" s="36"/>
    </row>
    <row r="9" customFormat="false" ht="38.25" hidden="false" customHeight="true" outlineLevel="0" collapsed="false">
      <c r="C9" s="94" t="n">
        <v>1</v>
      </c>
      <c r="D9" s="95" t="s">
        <v>145</v>
      </c>
      <c r="E9" s="95"/>
      <c r="F9" s="95"/>
      <c r="G9" s="96"/>
      <c r="H9" s="96"/>
      <c r="I9" s="96"/>
      <c r="J9" s="96"/>
      <c r="K9" s="97" t="n">
        <v>46175</v>
      </c>
      <c r="L9" s="97"/>
    </row>
    <row r="10" customFormat="false" ht="38.25" hidden="false" customHeight="true" outlineLevel="0" collapsed="false">
      <c r="C10" s="98" t="n">
        <v>2</v>
      </c>
      <c r="D10" s="99"/>
      <c r="E10" s="99"/>
      <c r="F10" s="99"/>
      <c r="G10" s="100"/>
      <c r="H10" s="100"/>
      <c r="I10" s="100"/>
      <c r="J10" s="100"/>
      <c r="K10" s="101"/>
      <c r="L10" s="101"/>
    </row>
    <row r="11" customFormat="false" ht="15.75" hidden="false" customHeight="true" outlineLevel="0" collapsed="false">
      <c r="C11" s="102"/>
      <c r="D11" s="103"/>
      <c r="E11" s="103"/>
      <c r="F11" s="103"/>
      <c r="G11" s="103"/>
      <c r="H11" s="103"/>
      <c r="I11" s="103"/>
      <c r="J11" s="103"/>
      <c r="K11" s="104"/>
      <c r="L11" s="105"/>
    </row>
    <row r="12" customFormat="false" ht="20.25" hidden="false" customHeight="true" outlineLevel="0" collapsed="false">
      <c r="B12" s="30" t="s">
        <v>146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customFormat="false" ht="21.75" hidden="false" customHeight="true" outlineLevel="0" collapsed="false">
      <c r="B13" s="106"/>
      <c r="C13" s="107"/>
      <c r="D13" s="108"/>
      <c r="E13" s="108"/>
      <c r="F13" s="108"/>
      <c r="G13" s="108"/>
      <c r="H13" s="108"/>
      <c r="I13" s="108"/>
      <c r="J13" s="108"/>
      <c r="K13" s="91"/>
      <c r="L13" s="91"/>
    </row>
    <row r="14" customFormat="false" ht="15" hidden="false" customHeight="false" outlineLevel="0" collapsed="false">
      <c r="B14" s="106"/>
      <c r="C14" s="109"/>
      <c r="D14" s="109"/>
      <c r="E14" s="109"/>
      <c r="F14" s="109"/>
      <c r="G14" s="109"/>
      <c r="H14" s="109"/>
      <c r="I14" s="109"/>
      <c r="J14" s="109"/>
      <c r="K14" s="109"/>
      <c r="L14" s="109"/>
    </row>
    <row r="15" customFormat="false" ht="15" hidden="false" customHeight="false" outlineLevel="0" collapsed="false">
      <c r="B15" s="106"/>
      <c r="C15" s="109"/>
      <c r="D15" s="109"/>
      <c r="E15" s="109"/>
      <c r="F15" s="109"/>
      <c r="G15" s="109"/>
      <c r="H15" s="109"/>
      <c r="I15" s="109"/>
      <c r="J15" s="109"/>
      <c r="K15" s="109"/>
      <c r="L15" s="109"/>
    </row>
    <row r="16" customFormat="false" ht="15" hidden="false" customHeight="false" outlineLevel="0" collapsed="false">
      <c r="B16" s="106"/>
      <c r="C16" s="109"/>
      <c r="D16" s="109"/>
      <c r="E16" s="109"/>
      <c r="F16" s="109"/>
      <c r="G16" s="109"/>
      <c r="H16" s="109"/>
      <c r="I16" s="109"/>
      <c r="J16" s="109"/>
      <c r="K16" s="109"/>
      <c r="L16" s="109"/>
    </row>
    <row r="17" customFormat="false" ht="15" hidden="false" customHeight="false" outlineLevel="0" collapsed="false">
      <c r="B17" s="106"/>
      <c r="C17" s="109"/>
      <c r="D17" s="109"/>
      <c r="E17" s="109"/>
      <c r="F17" s="109"/>
      <c r="G17" s="109"/>
      <c r="H17" s="109"/>
      <c r="I17" s="109"/>
      <c r="J17" s="109"/>
      <c r="K17" s="109"/>
      <c r="L17" s="109"/>
    </row>
    <row r="18" customFormat="false" ht="15" hidden="false" customHeight="false" outlineLevel="0" collapsed="false">
      <c r="B18" s="106"/>
      <c r="C18" s="109"/>
      <c r="D18" s="109"/>
      <c r="E18" s="109"/>
      <c r="F18" s="109"/>
      <c r="G18" s="109"/>
      <c r="H18" s="109"/>
      <c r="I18" s="109"/>
      <c r="J18" s="109"/>
      <c r="K18" s="109"/>
      <c r="L18" s="109"/>
    </row>
    <row r="19" customFormat="false" ht="15" hidden="false" customHeight="false" outlineLevel="0" collapsed="false">
      <c r="B19" s="106"/>
      <c r="C19" s="109"/>
      <c r="D19" s="109"/>
      <c r="E19" s="109"/>
      <c r="F19" s="109"/>
      <c r="G19" s="109"/>
      <c r="H19" s="109"/>
      <c r="I19" s="109"/>
      <c r="J19" s="109"/>
      <c r="K19" s="109"/>
      <c r="L19" s="109"/>
    </row>
    <row r="20" customFormat="false" ht="15" hidden="false" customHeight="false" outlineLevel="0" collapsed="false">
      <c r="B20" s="106"/>
      <c r="C20" s="109"/>
      <c r="D20" s="109"/>
      <c r="E20" s="109"/>
      <c r="F20" s="109"/>
      <c r="G20" s="109"/>
      <c r="H20" s="109"/>
      <c r="I20" s="109"/>
      <c r="J20" s="109"/>
      <c r="K20" s="109"/>
      <c r="L20" s="109"/>
    </row>
    <row r="21" customFormat="false" ht="15.75" hidden="false" customHeight="true" outlineLevel="0" collapsed="false">
      <c r="B21" s="106"/>
      <c r="C21" s="106"/>
      <c r="D21" s="110"/>
      <c r="E21" s="110"/>
      <c r="F21" s="110"/>
      <c r="G21" s="110"/>
      <c r="H21" s="108"/>
      <c r="I21" s="108"/>
      <c r="J21" s="108"/>
      <c r="K21" s="91"/>
      <c r="L21" s="91"/>
    </row>
    <row r="22" customFormat="false" ht="21.75" hidden="false" customHeight="true" outlineLevel="0" collapsed="false">
      <c r="B22" s="111" t="s">
        <v>147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</row>
    <row r="23" customFormat="false" ht="24" hidden="false" customHeight="true" outlineLevel="0" collapsed="false">
      <c r="B23" s="106"/>
      <c r="C23" s="112"/>
      <c r="D23" s="112"/>
      <c r="E23" s="112"/>
      <c r="F23" s="112"/>
      <c r="G23" s="112"/>
      <c r="H23" s="112"/>
      <c r="I23" s="112"/>
      <c r="J23" s="112"/>
    </row>
    <row r="24" customFormat="false" ht="15.75" hidden="false" customHeight="true" outlineLevel="0" collapsed="false">
      <c r="B24" s="110"/>
      <c r="C24" s="112"/>
      <c r="D24" s="112"/>
      <c r="E24" s="112"/>
      <c r="F24" s="112"/>
      <c r="G24" s="112"/>
      <c r="H24" s="112"/>
      <c r="I24" s="112"/>
      <c r="J24" s="112"/>
    </row>
    <row r="25" s="6" customFormat="true" ht="24" hidden="false" customHeight="true" outlineLevel="0" collapsed="false">
      <c r="B25" s="113"/>
      <c r="C25" s="114" t="s">
        <v>15</v>
      </c>
      <c r="D25" s="115" t="s">
        <v>148</v>
      </c>
      <c r="E25" s="115"/>
      <c r="F25" s="115"/>
      <c r="G25" s="116" t="s">
        <v>149</v>
      </c>
      <c r="H25" s="116"/>
      <c r="I25" s="116"/>
      <c r="J25" s="116" t="s">
        <v>150</v>
      </c>
      <c r="K25" s="116"/>
      <c r="L25" s="116"/>
    </row>
    <row r="26" customFormat="false" ht="57.75" hidden="false" customHeight="true" outlineLevel="0" collapsed="false">
      <c r="B26" s="113"/>
      <c r="C26" s="117" t="n">
        <v>1</v>
      </c>
      <c r="D26" s="118"/>
      <c r="E26" s="118"/>
      <c r="F26" s="118"/>
      <c r="G26" s="119"/>
      <c r="H26" s="119"/>
      <c r="I26" s="119"/>
      <c r="J26" s="119"/>
      <c r="K26" s="119"/>
      <c r="L26" s="119"/>
    </row>
    <row r="27" customFormat="false" ht="57.75" hidden="false" customHeight="true" outlineLevel="0" collapsed="false">
      <c r="B27" s="113"/>
      <c r="C27" s="117" t="n">
        <v>2</v>
      </c>
      <c r="D27" s="118"/>
      <c r="E27" s="120"/>
      <c r="F27" s="120"/>
      <c r="G27" s="119"/>
      <c r="H27" s="119"/>
      <c r="I27" s="119"/>
      <c r="J27" s="119"/>
      <c r="K27" s="119"/>
      <c r="L27" s="119"/>
    </row>
    <row r="28" customFormat="false" ht="57.75" hidden="false" customHeight="true" outlineLevel="0" collapsed="false">
      <c r="B28" s="113"/>
      <c r="C28" s="117" t="n">
        <v>3</v>
      </c>
      <c r="D28" s="119"/>
      <c r="E28" s="119"/>
      <c r="F28" s="119"/>
      <c r="G28" s="119"/>
      <c r="H28" s="119"/>
      <c r="I28" s="119"/>
      <c r="J28" s="119"/>
      <c r="K28" s="119"/>
      <c r="L28" s="119"/>
    </row>
    <row r="29" customFormat="false" ht="57.75" hidden="false" customHeight="true" outlineLevel="0" collapsed="false">
      <c r="B29" s="113"/>
      <c r="C29" s="117" t="n">
        <v>4</v>
      </c>
      <c r="D29" s="118"/>
      <c r="E29" s="120"/>
      <c r="F29" s="120"/>
      <c r="G29" s="119"/>
      <c r="H29" s="119"/>
      <c r="I29" s="119"/>
      <c r="J29" s="119"/>
      <c r="K29" s="119"/>
      <c r="L29" s="119"/>
    </row>
    <row r="30" customFormat="false" ht="57.75" hidden="false" customHeight="true" outlineLevel="0" collapsed="false">
      <c r="B30" s="113"/>
      <c r="C30" s="117" t="n">
        <v>5</v>
      </c>
      <c r="D30" s="119"/>
      <c r="E30" s="119"/>
      <c r="F30" s="119"/>
      <c r="G30" s="119"/>
      <c r="H30" s="119"/>
      <c r="I30" s="119"/>
      <c r="J30" s="119"/>
      <c r="K30" s="119"/>
      <c r="L30" s="119"/>
    </row>
    <row r="31" customFormat="false" ht="57.75" hidden="false" customHeight="true" outlineLevel="0" collapsed="false">
      <c r="B31" s="113"/>
      <c r="C31" s="117" t="n">
        <v>6</v>
      </c>
      <c r="D31" s="119"/>
      <c r="E31" s="119"/>
      <c r="F31" s="119"/>
      <c r="G31" s="119"/>
      <c r="H31" s="119"/>
      <c r="I31" s="119"/>
      <c r="J31" s="119"/>
      <c r="K31" s="119"/>
      <c r="L31" s="119"/>
    </row>
    <row r="32" customFormat="false" ht="15.75" hidden="false" customHeight="true" outlineLevel="0" collapsed="false">
      <c r="B32" s="110"/>
      <c r="C32" s="121"/>
      <c r="D32" s="110"/>
      <c r="E32" s="110"/>
      <c r="F32" s="110"/>
      <c r="G32" s="110"/>
      <c r="H32" s="110"/>
      <c r="I32" s="110"/>
      <c r="J32" s="110"/>
      <c r="K32" s="104"/>
      <c r="L32" s="105"/>
    </row>
    <row r="33" customFormat="false" ht="18.75" hidden="false" customHeight="true" outlineLevel="0" collapsed="false">
      <c r="B33" s="112"/>
      <c r="C33" s="121"/>
      <c r="D33" s="110"/>
      <c r="E33" s="110"/>
      <c r="F33" s="110"/>
      <c r="G33" s="110"/>
      <c r="H33" s="110"/>
      <c r="I33" s="110"/>
      <c r="J33" s="110"/>
      <c r="K33" s="104"/>
      <c r="L33" s="105"/>
    </row>
    <row r="34" customFormat="false" ht="21" hidden="false" customHeight="true" outlineLevel="0" collapsed="false">
      <c r="B34" s="111" t="s">
        <v>151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1"/>
    </row>
    <row r="35" customFormat="false" ht="24" hidden="false" customHeight="true" outlineLevel="0" collapsed="false">
      <c r="B35" s="106"/>
      <c r="C35" s="121"/>
      <c r="D35" s="110"/>
      <c r="E35" s="110"/>
      <c r="F35" s="110"/>
      <c r="G35" s="110"/>
      <c r="H35" s="110"/>
      <c r="I35" s="110"/>
      <c r="J35" s="110"/>
      <c r="K35" s="104"/>
      <c r="L35" s="105"/>
    </row>
    <row r="36" customFormat="false" ht="15.75" hidden="false" customHeight="true" outlineLevel="0" collapsed="false">
      <c r="B36" s="110"/>
      <c r="C36" s="121"/>
      <c r="D36" s="110"/>
      <c r="E36" s="110"/>
      <c r="F36" s="110"/>
      <c r="G36" s="110"/>
      <c r="H36" s="110"/>
      <c r="I36" s="110"/>
      <c r="J36" s="110"/>
      <c r="K36" s="104"/>
      <c r="L36" s="105"/>
    </row>
    <row r="37" s="6" customFormat="true" ht="24" hidden="false" customHeight="true" outlineLevel="0" collapsed="false">
      <c r="B37" s="110"/>
      <c r="C37" s="114" t="s">
        <v>15</v>
      </c>
      <c r="D37" s="116" t="s">
        <v>152</v>
      </c>
      <c r="E37" s="116"/>
      <c r="F37" s="116"/>
      <c r="G37" s="116" t="s">
        <v>153</v>
      </c>
      <c r="H37" s="116"/>
      <c r="I37" s="116"/>
      <c r="J37" s="116" t="s">
        <v>150</v>
      </c>
      <c r="K37" s="116"/>
      <c r="L37" s="116"/>
    </row>
    <row r="38" customFormat="false" ht="57.75" hidden="false" customHeight="true" outlineLevel="0" collapsed="false">
      <c r="B38" s="110"/>
      <c r="C38" s="117" t="n">
        <v>1</v>
      </c>
      <c r="D38" s="119"/>
      <c r="E38" s="119"/>
      <c r="F38" s="119"/>
      <c r="G38" s="119"/>
      <c r="H38" s="119"/>
      <c r="I38" s="119"/>
      <c r="J38" s="119"/>
      <c r="K38" s="119"/>
      <c r="L38" s="119"/>
    </row>
    <row r="39" customFormat="false" ht="57.75" hidden="false" customHeight="true" outlineLevel="0" collapsed="false">
      <c r="B39" s="110"/>
      <c r="C39" s="122" t="n">
        <v>2</v>
      </c>
      <c r="D39" s="119"/>
      <c r="E39" s="119"/>
      <c r="F39" s="119"/>
      <c r="G39" s="119"/>
      <c r="H39" s="119"/>
      <c r="I39" s="119"/>
      <c r="J39" s="119"/>
      <c r="K39" s="119"/>
      <c r="L39" s="119"/>
    </row>
    <row r="40" customFormat="false" ht="57.75" hidden="false" customHeight="true" outlineLevel="0" collapsed="false">
      <c r="B40" s="110"/>
      <c r="C40" s="117" t="n">
        <v>3</v>
      </c>
      <c r="D40" s="119"/>
      <c r="E40" s="119"/>
      <c r="F40" s="119"/>
      <c r="G40" s="119"/>
      <c r="H40" s="119"/>
      <c r="I40" s="119"/>
      <c r="J40" s="119"/>
      <c r="K40" s="119"/>
      <c r="L40" s="119"/>
    </row>
    <row r="41" customFormat="false" ht="57.75" hidden="false" customHeight="true" outlineLevel="0" collapsed="false">
      <c r="B41" s="110"/>
      <c r="C41" s="117" t="n">
        <v>4</v>
      </c>
      <c r="D41" s="119"/>
      <c r="E41" s="119"/>
      <c r="F41" s="119"/>
      <c r="G41" s="119"/>
      <c r="H41" s="119"/>
      <c r="I41" s="119"/>
      <c r="J41" s="119"/>
      <c r="K41" s="119"/>
      <c r="L41" s="119"/>
    </row>
    <row r="42" customFormat="false" ht="57.75" hidden="false" customHeight="true" outlineLevel="0" collapsed="false">
      <c r="B42" s="110"/>
      <c r="C42" s="117" t="n">
        <v>5</v>
      </c>
      <c r="D42" s="119"/>
      <c r="E42" s="119"/>
      <c r="F42" s="119"/>
      <c r="G42" s="119"/>
      <c r="H42" s="119"/>
      <c r="I42" s="119"/>
      <c r="J42" s="119"/>
      <c r="K42" s="119"/>
      <c r="L42" s="119"/>
    </row>
    <row r="43" customFormat="false" ht="24" hidden="false" customHeight="true" outlineLevel="0" collapsed="false">
      <c r="B43" s="123"/>
      <c r="C43" s="124" t="s">
        <v>154</v>
      </c>
      <c r="D43" s="112"/>
      <c r="E43" s="110"/>
      <c r="F43" s="112"/>
      <c r="G43" s="110"/>
      <c r="H43" s="112"/>
      <c r="I43" s="110"/>
      <c r="J43" s="112"/>
    </row>
    <row r="44" customFormat="false" ht="15.75" hidden="false" customHeight="true" outlineLevel="0" collapsed="false">
      <c r="B44" s="123"/>
      <c r="C44" s="110"/>
      <c r="D44" s="110"/>
      <c r="E44" s="110"/>
      <c r="F44" s="110"/>
      <c r="G44" s="110"/>
      <c r="H44" s="110"/>
      <c r="I44" s="110"/>
      <c r="J44" s="110"/>
      <c r="K44" s="104"/>
      <c r="L44" s="105"/>
    </row>
    <row r="45" customFormat="false" ht="21.75" hidden="false" customHeight="true" outlineLevel="0" collapsed="false">
      <c r="B45" s="125" t="s">
        <v>155</v>
      </c>
      <c r="C45" s="112"/>
      <c r="D45" s="112"/>
      <c r="E45" s="112"/>
      <c r="F45" s="112"/>
      <c r="G45" s="112"/>
      <c r="H45" s="112"/>
      <c r="I45" s="112"/>
      <c r="J45" s="112"/>
    </row>
    <row r="46" customFormat="false" ht="15.75" hidden="false" customHeight="true" outlineLevel="0" collapsed="false">
      <c r="B46" s="112"/>
      <c r="C46" s="126" t="s">
        <v>156</v>
      </c>
      <c r="D46" s="112"/>
      <c r="E46" s="112"/>
      <c r="F46" s="112"/>
      <c r="G46" s="112"/>
      <c r="H46" s="112"/>
      <c r="I46" s="112"/>
      <c r="J46" s="112"/>
    </row>
    <row r="47" customFormat="false" ht="15.75" hidden="false" customHeight="true" outlineLevel="0" collapsed="false">
      <c r="B47" s="112"/>
      <c r="C47" s="112"/>
      <c r="D47" s="112"/>
      <c r="E47" s="112"/>
      <c r="F47" s="112"/>
      <c r="G47" s="112"/>
      <c r="H47" s="112"/>
      <c r="I47" s="112"/>
      <c r="J47" s="112"/>
    </row>
    <row r="48" customFormat="false" ht="21" hidden="false" customHeight="true" outlineLevel="0" collapsed="false">
      <c r="B48" s="112"/>
      <c r="C48" s="127"/>
      <c r="D48" s="127"/>
      <c r="E48" s="128" t="n">
        <v>46235</v>
      </c>
      <c r="F48" s="128"/>
      <c r="G48" s="129" t="n">
        <v>46266</v>
      </c>
      <c r="H48" s="129"/>
      <c r="I48" s="129" t="n">
        <v>46296</v>
      </c>
      <c r="J48" s="129"/>
      <c r="K48" s="130" t="n">
        <v>46327</v>
      </c>
      <c r="L48" s="130"/>
      <c r="M48" s="131"/>
      <c r="N48" s="131"/>
      <c r="O48" s="131"/>
    </row>
    <row r="49" customFormat="false" ht="15.75" hidden="false" customHeight="true" outlineLevel="0" collapsed="false">
      <c r="B49" s="112"/>
      <c r="C49" s="127"/>
      <c r="D49" s="127"/>
      <c r="E49" s="132" t="s">
        <v>157</v>
      </c>
      <c r="F49" s="132" t="s">
        <v>158</v>
      </c>
      <c r="G49" s="132" t="s">
        <v>157</v>
      </c>
      <c r="H49" s="132" t="s">
        <v>158</v>
      </c>
      <c r="I49" s="132" t="s">
        <v>157</v>
      </c>
      <c r="J49" s="132" t="s">
        <v>158</v>
      </c>
      <c r="K49" s="133" t="s">
        <v>157</v>
      </c>
      <c r="L49" s="133" t="s">
        <v>158</v>
      </c>
    </row>
    <row r="50" customFormat="false" ht="33.75" hidden="false" customHeight="true" outlineLevel="0" collapsed="false">
      <c r="B50" s="112"/>
      <c r="C50" s="134"/>
      <c r="D50" s="135" t="s">
        <v>159</v>
      </c>
      <c r="E50" s="136"/>
      <c r="F50" s="137"/>
      <c r="G50" s="138"/>
      <c r="H50" s="137"/>
      <c r="I50" s="137"/>
      <c r="J50" s="137"/>
      <c r="K50" s="139"/>
      <c r="L50" s="139"/>
    </row>
    <row r="51" customFormat="false" ht="33.75" hidden="false" customHeight="true" outlineLevel="0" collapsed="false">
      <c r="B51" s="112"/>
      <c r="C51" s="134"/>
      <c r="D51" s="135" t="s">
        <v>160</v>
      </c>
      <c r="E51" s="136"/>
      <c r="F51" s="137"/>
      <c r="G51" s="137"/>
      <c r="H51" s="140"/>
      <c r="I51" s="140"/>
      <c r="J51" s="140"/>
      <c r="K51" s="141"/>
      <c r="L51" s="141"/>
    </row>
    <row r="52" customFormat="false" ht="33.75" hidden="false" customHeight="true" outlineLevel="0" collapsed="false">
      <c r="B52" s="112"/>
      <c r="C52" s="134"/>
      <c r="D52" s="135" t="s">
        <v>161</v>
      </c>
      <c r="E52" s="136"/>
      <c r="F52" s="137"/>
      <c r="G52" s="137"/>
      <c r="H52" s="137"/>
      <c r="I52" s="137"/>
      <c r="J52" s="137"/>
      <c r="K52" s="139"/>
      <c r="L52" s="139"/>
    </row>
    <row r="53" customFormat="false" ht="33.75" hidden="false" customHeight="true" outlineLevel="0" collapsed="false">
      <c r="B53" s="112"/>
      <c r="C53" s="134"/>
      <c r="D53" s="135" t="s">
        <v>162</v>
      </c>
      <c r="E53" s="136"/>
      <c r="F53" s="137"/>
      <c r="G53" s="137"/>
      <c r="H53" s="137"/>
      <c r="I53" s="137"/>
      <c r="J53" s="137"/>
      <c r="K53" s="139"/>
      <c r="L53" s="139"/>
    </row>
    <row r="54" customFormat="false" ht="33.75" hidden="false" customHeight="true" outlineLevel="0" collapsed="false">
      <c r="B54" s="112"/>
      <c r="C54" s="134"/>
      <c r="D54" s="135" t="s">
        <v>163</v>
      </c>
      <c r="E54" s="136"/>
      <c r="F54" s="137"/>
      <c r="G54" s="137"/>
      <c r="H54" s="137"/>
      <c r="I54" s="137"/>
      <c r="J54" s="137"/>
      <c r="K54" s="139"/>
      <c r="L54" s="139"/>
    </row>
    <row r="55" customFormat="false" ht="24" hidden="false" customHeight="true" outlineLevel="0" collapsed="false">
      <c r="B55" s="123"/>
      <c r="C55" s="142" t="s">
        <v>125</v>
      </c>
      <c r="D55" s="112"/>
      <c r="E55" s="112"/>
      <c r="F55" s="112"/>
      <c r="G55" s="112"/>
      <c r="H55" s="112"/>
      <c r="I55" s="112"/>
      <c r="J55" s="112"/>
    </row>
    <row r="56" customFormat="false" ht="24" hidden="false" customHeight="true" outlineLevel="0" collapsed="false">
      <c r="B56" s="112"/>
      <c r="C56" s="142"/>
      <c r="D56" s="112"/>
      <c r="E56" s="112"/>
      <c r="F56" s="112"/>
      <c r="G56" s="112"/>
      <c r="H56" s="112"/>
      <c r="I56" s="112"/>
      <c r="J56" s="143" t="s">
        <v>164</v>
      </c>
      <c r="K56" s="143"/>
      <c r="L56" s="144"/>
    </row>
    <row r="57" customFormat="false" ht="36.75" hidden="false" customHeight="true" outlineLevel="0" collapsed="false">
      <c r="B57" s="112"/>
      <c r="C57" s="112"/>
      <c r="D57" s="112"/>
      <c r="E57" s="112"/>
      <c r="F57" s="112"/>
      <c r="G57" s="112"/>
      <c r="H57" s="112"/>
      <c r="I57" s="112"/>
      <c r="J57" s="145" t="s">
        <v>165</v>
      </c>
      <c r="K57" s="145"/>
      <c r="L57" s="146"/>
    </row>
    <row r="58" customFormat="false" ht="18.75" hidden="false" customHeight="true" outlineLevel="0" collapsed="false">
      <c r="B58" s="112"/>
      <c r="C58" s="112"/>
      <c r="D58" s="112"/>
      <c r="E58" s="112"/>
      <c r="F58" s="112"/>
      <c r="G58" s="112"/>
      <c r="H58" s="112"/>
      <c r="I58" s="112"/>
      <c r="J58" s="147"/>
      <c r="K58" s="148"/>
      <c r="L58" s="149"/>
    </row>
    <row r="59" customFormat="false" ht="22.5" hidden="false" customHeight="true" outlineLevel="0" collapsed="false">
      <c r="B59" s="111" t="s">
        <v>166</v>
      </c>
      <c r="C59" s="111"/>
      <c r="D59" s="111"/>
      <c r="E59" s="111"/>
      <c r="F59" s="110"/>
      <c r="G59" s="110"/>
      <c r="H59" s="110"/>
      <c r="I59" s="110"/>
      <c r="J59" s="110"/>
    </row>
    <row r="60" customFormat="false" ht="15.75" hidden="false" customHeight="true" outlineLevel="0" collapsed="false">
      <c r="B60" s="112"/>
      <c r="C60" s="109"/>
      <c r="D60" s="109"/>
      <c r="E60" s="109"/>
      <c r="F60" s="109"/>
      <c r="G60" s="109"/>
      <c r="H60" s="109"/>
      <c r="I60" s="109"/>
      <c r="J60" s="109"/>
    </row>
    <row r="61" customFormat="false" ht="15.75" hidden="false" customHeight="true" outlineLevel="0" collapsed="false">
      <c r="B61" s="112"/>
      <c r="C61" s="112"/>
      <c r="D61" s="112"/>
      <c r="E61" s="112"/>
      <c r="F61" s="112"/>
      <c r="G61" s="112"/>
      <c r="H61" s="112"/>
      <c r="I61" s="112"/>
      <c r="J61" s="112"/>
    </row>
    <row r="62" customFormat="false" ht="15.75" hidden="false" customHeight="true" outlineLevel="0" collapsed="false">
      <c r="B62" s="111"/>
      <c r="C62" s="111"/>
      <c r="D62" s="111"/>
      <c r="E62" s="111"/>
      <c r="F62" s="150"/>
      <c r="G62" s="150"/>
      <c r="H62" s="150"/>
      <c r="I62" s="150"/>
      <c r="J62" s="150"/>
    </row>
    <row r="63" customFormat="false" ht="15" hidden="false" customHeight="true" outlineLevel="0" collapsed="false">
      <c r="B63" s="112"/>
      <c r="C63" s="112"/>
      <c r="D63" s="112"/>
      <c r="E63" s="112"/>
      <c r="F63" s="112"/>
      <c r="G63" s="112"/>
      <c r="H63" s="112"/>
      <c r="I63" s="112"/>
      <c r="J63" s="112"/>
    </row>
    <row r="64" customFormat="false" ht="15" hidden="false" customHeight="true" outlineLevel="0" collapsed="false">
      <c r="B64" s="112"/>
      <c r="C64" s="112"/>
      <c r="D64" s="112"/>
      <c r="E64" s="112"/>
      <c r="F64" s="112"/>
      <c r="G64" s="112"/>
      <c r="H64" s="112"/>
      <c r="I64" s="112"/>
      <c r="J64" s="112"/>
    </row>
    <row r="65" customFormat="false" ht="15" hidden="false" customHeight="true" outlineLevel="0" collapsed="false">
      <c r="B65" s="112"/>
      <c r="C65" s="112"/>
      <c r="D65" s="112"/>
      <c r="E65" s="112"/>
      <c r="F65" s="112"/>
      <c r="G65" s="112"/>
      <c r="H65" s="112"/>
      <c r="I65" s="112"/>
      <c r="J65" s="112"/>
    </row>
    <row r="66" customFormat="false" ht="15" hidden="false" customHeight="true" outlineLevel="0" collapsed="false">
      <c r="B66" s="112"/>
      <c r="C66" s="112"/>
      <c r="D66" s="112"/>
      <c r="E66" s="112"/>
      <c r="F66" s="112"/>
      <c r="G66" s="112"/>
      <c r="H66" s="112"/>
      <c r="I66" s="112"/>
      <c r="J66" s="112"/>
    </row>
    <row r="67" customFormat="false" ht="15" hidden="false" customHeight="true" outlineLevel="0" collapsed="false">
      <c r="B67" s="112"/>
      <c r="C67" s="112"/>
      <c r="D67" s="112"/>
      <c r="E67" s="112"/>
      <c r="F67" s="112"/>
      <c r="G67" s="112"/>
      <c r="H67" s="112"/>
      <c r="I67" s="112"/>
      <c r="J67" s="112"/>
    </row>
    <row r="68" customFormat="false" ht="15" hidden="false" customHeight="true" outlineLevel="0" collapsed="false">
      <c r="B68" s="112"/>
      <c r="C68" s="112"/>
      <c r="D68" s="112"/>
      <c r="E68" s="112"/>
      <c r="F68" s="112"/>
      <c r="G68" s="112"/>
      <c r="H68" s="112"/>
      <c r="I68" s="112"/>
      <c r="J68" s="112"/>
    </row>
    <row r="69" customFormat="false" ht="15" hidden="false" customHeight="true" outlineLevel="0" collapsed="false">
      <c r="B69" s="112"/>
      <c r="C69" s="112"/>
      <c r="D69" s="112"/>
      <c r="E69" s="112"/>
      <c r="F69" s="112"/>
      <c r="G69" s="112"/>
      <c r="H69" s="112"/>
      <c r="I69" s="112"/>
      <c r="J69" s="112"/>
    </row>
    <row r="70" customFormat="false" ht="15" hidden="false" customHeight="true" outlineLevel="0" collapsed="false">
      <c r="B70" s="112"/>
      <c r="C70" s="112"/>
      <c r="D70" s="112"/>
      <c r="E70" s="112"/>
      <c r="F70" s="112"/>
      <c r="G70" s="112"/>
      <c r="H70" s="112"/>
      <c r="I70" s="112"/>
      <c r="J70" s="112"/>
    </row>
    <row r="71" customFormat="false" ht="15" hidden="false" customHeight="true" outlineLevel="0" collapsed="false">
      <c r="B71" s="112"/>
      <c r="C71" s="112"/>
      <c r="D71" s="112"/>
      <c r="E71" s="112"/>
      <c r="F71" s="112"/>
      <c r="G71" s="112"/>
      <c r="H71" s="112"/>
      <c r="I71" s="112"/>
      <c r="J71" s="112"/>
    </row>
    <row r="72" customFormat="false" ht="15" hidden="false" customHeight="true" outlineLevel="0" collapsed="false">
      <c r="B72" s="112"/>
      <c r="C72" s="112"/>
      <c r="D72" s="112"/>
      <c r="E72" s="112"/>
      <c r="F72" s="112"/>
      <c r="G72" s="112"/>
      <c r="H72" s="112"/>
      <c r="I72" s="112"/>
      <c r="J72" s="112"/>
    </row>
    <row r="73" customFormat="false" ht="15" hidden="false" customHeight="true" outlineLevel="0" collapsed="false">
      <c r="B73" s="112"/>
      <c r="C73" s="112"/>
      <c r="D73" s="112"/>
      <c r="E73" s="112"/>
      <c r="F73" s="112"/>
      <c r="G73" s="112"/>
      <c r="H73" s="112"/>
      <c r="I73" s="112"/>
      <c r="J73" s="112"/>
    </row>
    <row r="74" customFormat="false" ht="15" hidden="false" customHeight="true" outlineLevel="0" collapsed="false">
      <c r="B74" s="112"/>
      <c r="C74" s="112"/>
      <c r="D74" s="112"/>
      <c r="E74" s="112"/>
      <c r="F74" s="112"/>
      <c r="G74" s="112"/>
      <c r="H74" s="112"/>
      <c r="I74" s="112"/>
      <c r="J74" s="112"/>
    </row>
    <row r="75" customFormat="false" ht="15" hidden="false" customHeight="true" outlineLevel="0" collapsed="false">
      <c r="B75" s="112"/>
      <c r="C75" s="112"/>
      <c r="D75" s="112"/>
      <c r="E75" s="112"/>
      <c r="F75" s="112"/>
      <c r="G75" s="112"/>
      <c r="H75" s="112"/>
      <c r="I75" s="112"/>
      <c r="J75" s="112"/>
    </row>
    <row r="76" customFormat="false" ht="15" hidden="false" customHeight="true" outlineLevel="0" collapsed="false">
      <c r="B76" s="112"/>
      <c r="C76" s="112"/>
      <c r="D76" s="112"/>
      <c r="E76" s="112"/>
      <c r="F76" s="112"/>
      <c r="G76" s="112"/>
      <c r="H76" s="112"/>
      <c r="I76" s="112"/>
      <c r="J76" s="112"/>
    </row>
    <row r="77" customFormat="false" ht="15" hidden="false" customHeight="true" outlineLevel="0" collapsed="false">
      <c r="B77" s="112"/>
      <c r="C77" s="112"/>
      <c r="D77" s="112"/>
      <c r="E77" s="112"/>
      <c r="F77" s="112"/>
      <c r="G77" s="112"/>
      <c r="H77" s="112"/>
      <c r="I77" s="112"/>
      <c r="J77" s="112"/>
    </row>
    <row r="78" customFormat="false" ht="15" hidden="false" customHeight="true" outlineLevel="0" collapsed="false">
      <c r="B78" s="112"/>
      <c r="C78" s="112"/>
      <c r="D78" s="112"/>
      <c r="E78" s="112"/>
      <c r="F78" s="112"/>
      <c r="G78" s="112"/>
      <c r="H78" s="112"/>
      <c r="I78" s="112"/>
      <c r="J78" s="112"/>
    </row>
    <row r="79" customFormat="false" ht="15" hidden="false" customHeight="true" outlineLevel="0" collapsed="false">
      <c r="B79" s="112"/>
      <c r="C79" s="112"/>
      <c r="D79" s="112"/>
      <c r="E79" s="112"/>
      <c r="F79" s="112"/>
      <c r="G79" s="112"/>
      <c r="H79" s="112"/>
      <c r="I79" s="112"/>
      <c r="J79" s="112"/>
    </row>
    <row r="80" customFormat="false" ht="15" hidden="false" customHeight="true" outlineLevel="0" collapsed="false">
      <c r="B80" s="112"/>
      <c r="C80" s="112"/>
      <c r="D80" s="112"/>
      <c r="E80" s="112"/>
      <c r="F80" s="112"/>
      <c r="G80" s="112"/>
      <c r="H80" s="112"/>
      <c r="I80" s="112"/>
      <c r="J80" s="112"/>
    </row>
    <row r="81" customFormat="false" ht="15" hidden="false" customHeight="true" outlineLevel="0" collapsed="false">
      <c r="B81" s="112"/>
      <c r="C81" s="112"/>
      <c r="D81" s="112"/>
      <c r="E81" s="112"/>
      <c r="F81" s="112"/>
      <c r="G81" s="112"/>
      <c r="H81" s="112"/>
      <c r="I81" s="112"/>
      <c r="J81" s="112"/>
    </row>
    <row r="82" customFormat="false" ht="15" hidden="false" customHeight="true" outlineLevel="0" collapsed="false">
      <c r="B82" s="112"/>
      <c r="C82" s="112"/>
      <c r="D82" s="112"/>
      <c r="E82" s="112"/>
      <c r="F82" s="112"/>
      <c r="G82" s="112"/>
      <c r="H82" s="112"/>
      <c r="I82" s="112"/>
      <c r="J82" s="112"/>
    </row>
    <row r="83" customFormat="false" ht="15" hidden="false" customHeight="true" outlineLevel="0" collapsed="false">
      <c r="B83" s="112"/>
      <c r="C83" s="112"/>
      <c r="D83" s="112"/>
      <c r="E83" s="112"/>
      <c r="F83" s="112"/>
      <c r="G83" s="112"/>
      <c r="H83" s="112"/>
      <c r="I83" s="112"/>
      <c r="J83" s="112"/>
    </row>
    <row r="84" customFormat="false" ht="15" hidden="false" customHeight="true" outlineLevel="0" collapsed="false">
      <c r="B84" s="112"/>
      <c r="C84" s="112"/>
      <c r="D84" s="112"/>
      <c r="E84" s="112"/>
      <c r="F84" s="112"/>
      <c r="G84" s="112"/>
      <c r="H84" s="112"/>
      <c r="I84" s="112"/>
      <c r="J84" s="112"/>
    </row>
    <row r="85" customFormat="false" ht="21" hidden="false" customHeight="true" outlineLevel="0" collapsed="false">
      <c r="B85" s="111" t="s">
        <v>167</v>
      </c>
      <c r="C85" s="111"/>
      <c r="D85" s="111"/>
      <c r="E85" s="111"/>
      <c r="F85" s="150"/>
      <c r="G85" s="150"/>
      <c r="H85" s="150"/>
      <c r="I85" s="150"/>
      <c r="J85" s="150"/>
      <c r="K85" s="151"/>
      <c r="L85" s="151"/>
    </row>
    <row r="86" customFormat="false" ht="24" hidden="false" customHeight="true" outlineLevel="0" collapsed="false">
      <c r="B86" s="152" t="s">
        <v>168</v>
      </c>
      <c r="C86" s="153"/>
      <c r="D86" s="112"/>
      <c r="E86" s="112"/>
      <c r="F86" s="112"/>
      <c r="G86" s="112"/>
      <c r="H86" s="112"/>
      <c r="I86" s="112"/>
      <c r="J86" s="112"/>
    </row>
    <row r="87" customFormat="false" ht="24" hidden="false" customHeight="true" outlineLevel="0" collapsed="false">
      <c r="B87" s="152"/>
      <c r="C87" s="154" t="s">
        <v>169</v>
      </c>
      <c r="D87" s="154"/>
      <c r="E87" s="154"/>
      <c r="F87" s="154"/>
      <c r="G87" s="154"/>
      <c r="H87" s="154"/>
      <c r="I87" s="154"/>
      <c r="J87" s="154"/>
      <c r="K87" s="154"/>
      <c r="L87" s="154"/>
    </row>
    <row r="88" customFormat="false" ht="24" hidden="false" customHeight="true" outlineLevel="0" collapsed="false">
      <c r="B88" s="155"/>
      <c r="C88" s="156" t="s">
        <v>15</v>
      </c>
      <c r="D88" s="157" t="s">
        <v>170</v>
      </c>
      <c r="E88" s="157"/>
      <c r="F88" s="157"/>
      <c r="G88" s="158" t="s">
        <v>171</v>
      </c>
      <c r="H88" s="158"/>
      <c r="I88" s="158"/>
      <c r="J88" s="158"/>
      <c r="K88" s="158"/>
      <c r="L88" s="158"/>
    </row>
    <row r="89" customFormat="false" ht="15" hidden="false" customHeight="false" outlineLevel="0" collapsed="false">
      <c r="B89" s="155"/>
      <c r="C89" s="159" t="n">
        <v>1</v>
      </c>
      <c r="D89" s="160"/>
      <c r="E89" s="160"/>
      <c r="F89" s="160"/>
      <c r="G89" s="160"/>
      <c r="H89" s="160"/>
      <c r="I89" s="160"/>
      <c r="J89" s="160"/>
      <c r="K89" s="160"/>
      <c r="L89" s="160"/>
    </row>
    <row r="90" customFormat="false" ht="15" hidden="false" customHeight="false" outlineLevel="0" collapsed="false">
      <c r="B90" s="155"/>
      <c r="C90" s="159" t="n">
        <v>2</v>
      </c>
      <c r="D90" s="160"/>
      <c r="E90" s="160"/>
      <c r="F90" s="160"/>
      <c r="G90" s="160"/>
      <c r="H90" s="160"/>
      <c r="I90" s="160"/>
      <c r="J90" s="160"/>
      <c r="K90" s="160"/>
      <c r="L90" s="160"/>
    </row>
    <row r="91" customFormat="false" ht="15" hidden="false" customHeight="false" outlineLevel="0" collapsed="false">
      <c r="B91" s="155"/>
      <c r="C91" s="159" t="n">
        <v>3</v>
      </c>
      <c r="D91" s="160"/>
      <c r="E91" s="160"/>
      <c r="F91" s="160"/>
      <c r="G91" s="161"/>
      <c r="H91" s="161"/>
      <c r="I91" s="161"/>
      <c r="J91" s="161"/>
      <c r="K91" s="161"/>
      <c r="L91" s="161"/>
    </row>
    <row r="92" customFormat="false" ht="15" hidden="false" customHeight="false" outlineLevel="0" collapsed="false">
      <c r="B92" s="155"/>
      <c r="C92" s="159" t="n">
        <v>4</v>
      </c>
      <c r="D92" s="160"/>
      <c r="E92" s="160"/>
      <c r="F92" s="160"/>
      <c r="G92" s="160"/>
      <c r="H92" s="160"/>
      <c r="I92" s="160"/>
      <c r="J92" s="160"/>
      <c r="K92" s="160"/>
      <c r="L92" s="160"/>
    </row>
    <row r="93" customFormat="false" ht="20.25" hidden="false" customHeight="true" outlineLevel="0" collapsed="false"/>
    <row r="94" customFormat="false" ht="18.75" hidden="false" customHeight="true" outlineLevel="0" collapsed="false">
      <c r="B94" s="30" t="s">
        <v>172</v>
      </c>
      <c r="C94" s="30"/>
      <c r="D94" s="30"/>
      <c r="E94" s="30"/>
    </row>
    <row r="95" customFormat="false" ht="18.75" hidden="false" customHeight="true" outlineLevel="0" collapsed="false">
      <c r="C95" s="75" t="s">
        <v>173</v>
      </c>
    </row>
    <row r="96" customFormat="false" ht="18.75" hidden="false" customHeight="true" outlineLevel="0" collapsed="false">
      <c r="C96" s="75" t="s">
        <v>137</v>
      </c>
    </row>
    <row r="97" customFormat="false" ht="18.75" hidden="false" customHeight="true" outlineLevel="0" collapsed="false">
      <c r="C97" s="75" t="s">
        <v>138</v>
      </c>
    </row>
    <row r="98" customFormat="false" ht="18.75" hidden="false" customHeight="true" outlineLevel="0" collapsed="false">
      <c r="C98" s="75" t="s">
        <v>174</v>
      </c>
    </row>
    <row r="99" customFormat="false" ht="18.75" hidden="false" customHeight="true" outlineLevel="0" collapsed="false">
      <c r="C99" s="75" t="s">
        <v>175</v>
      </c>
    </row>
    <row r="100" customFormat="false" ht="18.75" hidden="false" customHeight="true" outlineLevel="0" collapsed="false">
      <c r="C100" s="75" t="s">
        <v>176</v>
      </c>
    </row>
    <row r="101" customFormat="false" ht="18.75" hidden="false" customHeight="true" outlineLevel="0" collapsed="false">
      <c r="C101" s="75" t="s">
        <v>177</v>
      </c>
    </row>
  </sheetData>
  <mergeCells count="81">
    <mergeCell ref="F2:G2"/>
    <mergeCell ref="K2:L2"/>
    <mergeCell ref="B4:L4"/>
    <mergeCell ref="D8:F8"/>
    <mergeCell ref="G8:J8"/>
    <mergeCell ref="K8:L8"/>
    <mergeCell ref="D9:F9"/>
    <mergeCell ref="G9:J9"/>
    <mergeCell ref="K9:L9"/>
    <mergeCell ref="D10:F10"/>
    <mergeCell ref="G10:J10"/>
    <mergeCell ref="K10:L10"/>
    <mergeCell ref="B12:L12"/>
    <mergeCell ref="C14:L14"/>
    <mergeCell ref="C15:L15"/>
    <mergeCell ref="C16:L16"/>
    <mergeCell ref="C17:L17"/>
    <mergeCell ref="C18:L18"/>
    <mergeCell ref="C19:L19"/>
    <mergeCell ref="C20:L20"/>
    <mergeCell ref="B22:L22"/>
    <mergeCell ref="D25:F25"/>
    <mergeCell ref="G25:I25"/>
    <mergeCell ref="J25:L25"/>
    <mergeCell ref="D26:F26"/>
    <mergeCell ref="G26:I26"/>
    <mergeCell ref="J26:L26"/>
    <mergeCell ref="G27:I27"/>
    <mergeCell ref="J27:L27"/>
    <mergeCell ref="D28:F28"/>
    <mergeCell ref="G28:I28"/>
    <mergeCell ref="J28:L28"/>
    <mergeCell ref="G29:I29"/>
    <mergeCell ref="J29:L29"/>
    <mergeCell ref="D30:F30"/>
    <mergeCell ref="G30:I30"/>
    <mergeCell ref="J30:L30"/>
    <mergeCell ref="D31:F31"/>
    <mergeCell ref="G31:I31"/>
    <mergeCell ref="J31:L31"/>
    <mergeCell ref="B34:L34"/>
    <mergeCell ref="D37:F37"/>
    <mergeCell ref="G37:I37"/>
    <mergeCell ref="J37:L37"/>
    <mergeCell ref="D38:F38"/>
    <mergeCell ref="G38:I38"/>
    <mergeCell ref="J38:L38"/>
    <mergeCell ref="D39:F39"/>
    <mergeCell ref="G39:I39"/>
    <mergeCell ref="J39:L39"/>
    <mergeCell ref="D40:F40"/>
    <mergeCell ref="G40:I40"/>
    <mergeCell ref="J40:L40"/>
    <mergeCell ref="D41:F41"/>
    <mergeCell ref="G41:I41"/>
    <mergeCell ref="J41:L41"/>
    <mergeCell ref="D42:F42"/>
    <mergeCell ref="G42:I42"/>
    <mergeCell ref="J42:L42"/>
    <mergeCell ref="E48:F48"/>
    <mergeCell ref="G48:H48"/>
    <mergeCell ref="I48:J48"/>
    <mergeCell ref="K48:L48"/>
    <mergeCell ref="J56:K56"/>
    <mergeCell ref="J57:K57"/>
    <mergeCell ref="B59:E59"/>
    <mergeCell ref="C60:J60"/>
    <mergeCell ref="B62:E62"/>
    <mergeCell ref="B85:E85"/>
    <mergeCell ref="C87:L87"/>
    <mergeCell ref="D88:F88"/>
    <mergeCell ref="G88:L88"/>
    <mergeCell ref="D89:F89"/>
    <mergeCell ref="G89:L89"/>
    <mergeCell ref="D90:F90"/>
    <mergeCell ref="G90:L90"/>
    <mergeCell ref="D91:F91"/>
    <mergeCell ref="G91:L91"/>
    <mergeCell ref="D92:F92"/>
    <mergeCell ref="G92:L92"/>
    <mergeCell ref="B94:E94"/>
  </mergeCells>
  <printOptions headings="false" gridLines="false" gridLinesSet="true" horizontalCentered="false" verticalCentered="false"/>
  <pageMargins left="0.708333333333333" right="0.708333333333333" top="0.747916666666667" bottom="0.748611111111111" header="0.511811023622047" footer="0.315277777777778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&amp;RPage &amp;P</oddFooter>
  </headerFooter>
  <rowBreaks count="1" manualBreakCount="1">
    <brk id="44" man="true" max="16383" min="0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1" activeCellId="0" sqref="J3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.42"/>
    <col collapsed="false" customWidth="true" hidden="false" outlineLevel="0" max="3" min="3" style="1" width="9.14"/>
    <col collapsed="false" customWidth="true" hidden="false" outlineLevel="0" max="4" min="4" style="1" width="27.15"/>
    <col collapsed="false" customWidth="true" hidden="false" outlineLevel="0" max="5" min="5" style="1" width="25.42"/>
    <col collapsed="false" customWidth="true" hidden="false" outlineLevel="0" max="6" min="6" style="1" width="20.29"/>
    <col collapsed="false" customWidth="true" hidden="false" outlineLevel="0" max="7" min="7" style="1" width="11.43"/>
    <col collapsed="false" customWidth="true" hidden="false" outlineLevel="0" max="8" min="8" style="1" width="3"/>
    <col collapsed="false" customWidth="true" hidden="false" outlineLevel="0" max="9" min="9" style="1" width="7.42"/>
    <col collapsed="false" customWidth="true" hidden="false" outlineLevel="0" max="10" min="10" style="1" width="34.14"/>
    <col collapsed="false" customWidth="true" hidden="false" outlineLevel="0" max="11" min="11" style="1" width="7.42"/>
    <col collapsed="false" customWidth="true" hidden="false" outlineLevel="0" max="12" min="12" style="1" width="21.43"/>
    <col collapsed="false" customWidth="true" hidden="false" outlineLevel="0" max="14" min="13" style="1" width="7.42"/>
    <col collapsed="false" customWidth="true" hidden="false" outlineLevel="0" max="26" min="15" style="1" width="12.42"/>
    <col collapsed="false" customWidth="false" hidden="false" outlineLevel="0" max="16384" min="27" style="1" width="14.42"/>
  </cols>
  <sheetData>
    <row r="2" customFormat="false" ht="16.5" hidden="false" customHeight="true" outlineLevel="0" collapsed="false">
      <c r="B2" s="33" t="s">
        <v>0</v>
      </c>
      <c r="C2" s="2"/>
      <c r="D2" s="6"/>
      <c r="E2" s="3"/>
      <c r="F2" s="2"/>
      <c r="G2" s="2"/>
    </row>
    <row r="3" customFormat="false" ht="18" hidden="false" customHeight="true" outlineLevel="0" collapsed="false">
      <c r="B3" s="4" t="s">
        <v>1</v>
      </c>
      <c r="C3" s="2"/>
      <c r="D3" s="3"/>
      <c r="E3" s="2"/>
      <c r="F3" s="3"/>
      <c r="G3" s="2"/>
    </row>
    <row r="4" customFormat="false" ht="15.75" hidden="false" customHeight="true" outlineLevel="0" collapsed="false">
      <c r="B4" s="3" t="s">
        <v>2</v>
      </c>
      <c r="C4" s="3"/>
      <c r="D4" s="3"/>
      <c r="E4" s="3"/>
      <c r="F4" s="162"/>
      <c r="G4" s="3"/>
    </row>
    <row r="5" customFormat="false" ht="13.5" hidden="false" customHeight="true" outlineLevel="0" collapsed="false">
      <c r="B5" s="5"/>
      <c r="C5" s="2"/>
      <c r="D5" s="2"/>
      <c r="E5" s="3"/>
      <c r="F5" s="3"/>
      <c r="G5" s="3"/>
    </row>
    <row r="6" customFormat="false" ht="13.5" hidden="false" customHeight="true" outlineLevel="0" collapsed="false">
      <c r="B6" s="3"/>
      <c r="C6" s="3"/>
      <c r="D6" s="3"/>
      <c r="E6" s="3"/>
      <c r="F6" s="3"/>
      <c r="G6" s="3"/>
    </row>
    <row r="7" customFormat="false" ht="3.75" hidden="false" customHeight="true" outlineLevel="0" collapsed="false">
      <c r="B7" s="163"/>
      <c r="C7" s="163"/>
      <c r="D7" s="163"/>
      <c r="E7" s="163"/>
      <c r="F7" s="163"/>
      <c r="G7" s="163"/>
    </row>
    <row r="8" customFormat="false" ht="27.75" hidden="false" customHeight="true" outlineLevel="0" collapsed="false"/>
    <row r="9" s="152" customFormat="true" ht="36.75" hidden="false" customHeight="true" outlineLevel="0" collapsed="false">
      <c r="B9" s="164" t="s">
        <v>3</v>
      </c>
      <c r="C9" s="164"/>
      <c r="D9" s="164"/>
      <c r="E9" s="164"/>
      <c r="F9" s="164"/>
      <c r="G9" s="164"/>
    </row>
    <row r="10" customFormat="false" ht="13.5" hidden="false" customHeight="true" outlineLevel="0" collapsed="false">
      <c r="B10" s="165"/>
      <c r="C10" s="165"/>
      <c r="D10" s="165"/>
      <c r="E10" s="166"/>
      <c r="F10" s="3"/>
      <c r="G10" s="3"/>
    </row>
    <row r="11" customFormat="false" ht="36" hidden="false" customHeight="true" outlineLevel="0" collapsed="false">
      <c r="B11" s="167" t="str">
        <f aca="false">表紙!B14</f>
        <v>法人向け契約・請求・入金管理システム</v>
      </c>
      <c r="C11" s="167"/>
      <c r="D11" s="167"/>
      <c r="E11" s="167"/>
      <c r="F11" s="167"/>
      <c r="G11" s="167"/>
    </row>
    <row r="12" customFormat="false" ht="13.5" hidden="false" customHeight="true" outlineLevel="0" collapsed="false">
      <c r="B12" s="2"/>
      <c r="C12" s="3"/>
      <c r="D12" s="3"/>
      <c r="E12" s="3"/>
      <c r="F12" s="3"/>
      <c r="G12" s="3"/>
    </row>
    <row r="13" customFormat="false" ht="18" hidden="false" customHeight="true" outlineLevel="0" collapsed="false">
      <c r="B13" s="168" t="s">
        <v>178</v>
      </c>
      <c r="C13" s="3"/>
      <c r="D13" s="3"/>
      <c r="E13" s="3"/>
      <c r="F13" s="3"/>
      <c r="G13" s="3"/>
    </row>
    <row r="14" customFormat="false" ht="18.75" hidden="false" customHeight="true" outlineLevel="0" collapsed="false">
      <c r="B14" s="169" t="s">
        <v>179</v>
      </c>
      <c r="C14" s="14" t="s">
        <v>180</v>
      </c>
      <c r="D14" s="14"/>
      <c r="E14" s="14" t="s">
        <v>181</v>
      </c>
      <c r="F14" s="14" t="s">
        <v>182</v>
      </c>
      <c r="G14" s="14" t="s">
        <v>183</v>
      </c>
    </row>
    <row r="15" customFormat="false" ht="18" hidden="false" customHeight="true" outlineLevel="0" collapsed="false">
      <c r="B15" s="170" t="n">
        <v>1</v>
      </c>
      <c r="C15" s="171" t="str">
        <f aca="false">見積明細書!F99</f>
        <v>開発</v>
      </c>
      <c r="D15" s="172"/>
      <c r="E15" s="173" t="n">
        <v>380000</v>
      </c>
      <c r="F15" s="174" t="n">
        <f aca="false">見積明細書!H99</f>
        <v>6.64</v>
      </c>
      <c r="G15" s="58" t="s">
        <v>184</v>
      </c>
    </row>
    <row r="16" customFormat="false" ht="18" hidden="false" customHeight="true" outlineLevel="0" collapsed="false">
      <c r="B16" s="170" t="n">
        <v>2</v>
      </c>
      <c r="C16" s="171" t="str">
        <f aca="false">見積明細書!F100</f>
        <v>基本設計</v>
      </c>
      <c r="D16" s="172"/>
      <c r="E16" s="173" t="n">
        <v>380000</v>
      </c>
      <c r="F16" s="174" t="n">
        <f aca="false">見積明細書!H100</f>
        <v>0</v>
      </c>
      <c r="G16" s="58" t="s">
        <v>184</v>
      </c>
    </row>
    <row r="17" customFormat="false" ht="18" hidden="false" customHeight="true" outlineLevel="0" collapsed="false">
      <c r="B17" s="170" t="n">
        <v>3</v>
      </c>
      <c r="C17" s="171" t="str">
        <f aca="false">見積明細書!F101</f>
        <v>手順書作成</v>
      </c>
      <c r="D17" s="172"/>
      <c r="E17" s="173" t="n">
        <v>380000</v>
      </c>
      <c r="F17" s="174" t="n">
        <f aca="false">見積明細書!H101</f>
        <v>0.25</v>
      </c>
      <c r="G17" s="58" t="s">
        <v>184</v>
      </c>
    </row>
    <row r="18" customFormat="false" ht="18" hidden="false" customHeight="true" outlineLevel="0" collapsed="false">
      <c r="B18" s="170" t="n">
        <v>4</v>
      </c>
      <c r="C18" s="171" t="str">
        <f aca="false">見積明細書!F102</f>
        <v>結合テスト</v>
      </c>
      <c r="D18" s="172"/>
      <c r="E18" s="173" t="n">
        <v>380000</v>
      </c>
      <c r="F18" s="174" t="n">
        <f aca="false">見積明細書!H102</f>
        <v>0.34</v>
      </c>
      <c r="G18" s="58" t="s">
        <v>184</v>
      </c>
    </row>
    <row r="19" customFormat="false" ht="18" hidden="false" customHeight="true" outlineLevel="0" collapsed="false">
      <c r="B19" s="170" t="n">
        <v>5</v>
      </c>
      <c r="C19" s="171" t="str">
        <f aca="false">見積明細書!F103</f>
        <v>BrSE担当</v>
      </c>
      <c r="D19" s="172"/>
      <c r="E19" s="173" t="n">
        <v>400000</v>
      </c>
      <c r="F19" s="174" t="n">
        <f aca="false">見積明細書!H103</f>
        <v>0.72</v>
      </c>
      <c r="G19" s="58" t="s">
        <v>184</v>
      </c>
    </row>
    <row r="20" customFormat="false" ht="18" hidden="false" customHeight="true" outlineLevel="0" collapsed="false">
      <c r="B20" s="170" t="n">
        <v>6</v>
      </c>
      <c r="C20" s="171" t="str">
        <f aca="false">見積明細書!F104</f>
        <v>プロジェクト管理</v>
      </c>
      <c r="E20" s="173" t="n">
        <v>400000</v>
      </c>
      <c r="F20" s="174" t="n">
        <f aca="false">見積明細書!H104</f>
        <v>0.72</v>
      </c>
      <c r="G20" s="58" t="s">
        <v>184</v>
      </c>
    </row>
    <row r="21" customFormat="false" ht="13.5" hidden="false" customHeight="true" outlineLevel="0" collapsed="false">
      <c r="B21" s="170"/>
      <c r="C21" s="175" t="s">
        <v>185</v>
      </c>
      <c r="D21" s="175"/>
      <c r="E21" s="175"/>
      <c r="F21" s="176" t="n">
        <f aca="false">SUM(F15:F20)</f>
        <v>8.67</v>
      </c>
      <c r="G21" s="177" t="s">
        <v>184</v>
      </c>
    </row>
    <row r="22" customFormat="false" ht="19.5" hidden="false" customHeight="true" outlineLevel="0" collapsed="false">
      <c r="B22" s="178"/>
      <c r="C22" s="178"/>
      <c r="D22" s="178"/>
      <c r="E22" s="178"/>
      <c r="F22" s="179"/>
      <c r="G22" s="3"/>
    </row>
    <row r="23" customFormat="false" ht="15.75" hidden="false" customHeight="true" outlineLevel="0" collapsed="false">
      <c r="B23" s="168" t="s">
        <v>186</v>
      </c>
      <c r="C23" s="178"/>
      <c r="F23" s="179"/>
      <c r="G23" s="3"/>
    </row>
    <row r="24" customFormat="false" ht="18" hidden="false" customHeight="true" outlineLevel="0" collapsed="false">
      <c r="B24" s="169" t="s">
        <v>179</v>
      </c>
      <c r="C24" s="14" t="s">
        <v>180</v>
      </c>
      <c r="D24" s="14"/>
      <c r="E24" s="14"/>
      <c r="F24" s="14" t="s">
        <v>187</v>
      </c>
      <c r="G24" s="14" t="s">
        <v>183</v>
      </c>
    </row>
    <row r="25" customFormat="false" ht="18" hidden="false" customHeight="true" outlineLevel="0" collapsed="false">
      <c r="B25" s="170" t="n">
        <v>1</v>
      </c>
      <c r="C25" s="60" t="s">
        <v>188</v>
      </c>
      <c r="D25" s="60"/>
      <c r="E25" s="60"/>
      <c r="F25" s="180" t="n">
        <f aca="false">SUMPRODUCT(E15:E20,F15:F20)</f>
        <v>3323400</v>
      </c>
      <c r="G25" s="58" t="s">
        <v>189</v>
      </c>
    </row>
    <row r="26" customFormat="false" ht="18" hidden="false" customHeight="true" outlineLevel="0" collapsed="false">
      <c r="B26" s="170" t="n">
        <v>2</v>
      </c>
      <c r="C26" s="60" t="s">
        <v>190</v>
      </c>
      <c r="D26" s="60"/>
      <c r="E26" s="60"/>
      <c r="F26" s="180" t="n">
        <f aca="false">(F25)*10%</f>
        <v>332340</v>
      </c>
      <c r="G26" s="58" t="s">
        <v>189</v>
      </c>
    </row>
    <row r="27" customFormat="false" ht="15" hidden="false" customHeight="true" outlineLevel="0" collapsed="false">
      <c r="B27" s="170"/>
      <c r="C27" s="175" t="s">
        <v>191</v>
      </c>
      <c r="D27" s="175"/>
      <c r="E27" s="175"/>
      <c r="F27" s="181" t="n">
        <f aca="false">SUM(F25+F26)</f>
        <v>3655740</v>
      </c>
      <c r="G27" s="177" t="s">
        <v>189</v>
      </c>
    </row>
  </sheetData>
  <mergeCells count="9">
    <mergeCell ref="B7:G7"/>
    <mergeCell ref="B9:G9"/>
    <mergeCell ref="B11:G11"/>
    <mergeCell ref="C14:D14"/>
    <mergeCell ref="C21:E21"/>
    <mergeCell ref="C24:E24"/>
    <mergeCell ref="C25:E25"/>
    <mergeCell ref="C26:E26"/>
    <mergeCell ref="C27:E27"/>
  </mergeCells>
  <dataValidations count="1">
    <dataValidation allowBlank="true" errorStyle="stop" operator="between" showDropDown="false" showErrorMessage="true" showInputMessage="false" sqref="F4" type="list">
      <formula1>"東京都渋谷区幡ヶ谷1-1-1 ニッコービル3F,東京都渋谷区幡ヶ谷1-1-1 ニッコービル5F,東京都渋谷区幡ヶ谷1-1-1 幡ヶ谷プラザビル4F"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"/>
  <pageSetup paperSize="9" scale="8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5"/>
  <sheetViews>
    <sheetView showFormulas="false" showGridLines="false" showRowColHeaders="true" showZeros="true" rightToLeft="false" tabSelected="true" showOutlineSymbols="true" defaultGridColor="true" view="normal" topLeftCell="A6" colorId="64" zoomScale="115" zoomScaleNormal="115" zoomScalePageLayoutView="100" workbookViewId="0">
      <selection pane="topLeft" activeCell="A13" activeCellId="0" sqref="A1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82" width="29"/>
    <col collapsed="false" customWidth="true" hidden="false" outlineLevel="0" max="3" min="3" style="182" width="40.29"/>
    <col collapsed="false" customWidth="true" hidden="false" outlineLevel="0" max="4" min="4" style="182" width="40.71"/>
    <col collapsed="false" customWidth="true" hidden="false" outlineLevel="0" max="6" min="5" style="1" width="13.29"/>
    <col collapsed="false" customWidth="true" hidden="false" outlineLevel="0" max="7" min="7" style="1" width="14.71"/>
    <col collapsed="false" customWidth="true" hidden="false" outlineLevel="0" max="8" min="8" style="1" width="13.29"/>
    <col collapsed="false" customWidth="true" hidden="false" outlineLevel="0" max="20" min="9" style="1" width="7.42"/>
    <col collapsed="false" customWidth="false" hidden="false" outlineLevel="0" max="16384" min="21" style="1" width="14.42"/>
  </cols>
  <sheetData>
    <row r="1" s="1" customFormat="true" ht="15" hidden="false" customHeight="true" outlineLevel="0" collapsed="false"/>
    <row r="2" customFormat="false" ht="21" hidden="false" customHeight="true" outlineLevel="0" collapsed="false">
      <c r="A2" s="2" t="s">
        <v>0</v>
      </c>
      <c r="B2" s="183"/>
      <c r="C2" s="183"/>
      <c r="D2" s="184"/>
      <c r="E2" s="185"/>
      <c r="F2" s="6"/>
      <c r="G2" s="6"/>
      <c r="H2" s="6"/>
    </row>
    <row r="3" customFormat="false" ht="21" hidden="false" customHeight="true" outlineLevel="0" collapsed="false">
      <c r="A3" s="4" t="s">
        <v>1</v>
      </c>
      <c r="B3" s="183"/>
      <c r="C3" s="183"/>
      <c r="D3" s="184"/>
      <c r="E3" s="185"/>
      <c r="F3" s="6"/>
      <c r="G3" s="6"/>
      <c r="H3" s="6"/>
    </row>
    <row r="4" customFormat="false" ht="21" hidden="false" customHeight="true" outlineLevel="0" collapsed="false">
      <c r="A4" s="3" t="s">
        <v>2</v>
      </c>
      <c r="B4" s="183"/>
      <c r="C4" s="183"/>
      <c r="D4" s="183"/>
      <c r="E4" s="185"/>
      <c r="F4" s="6"/>
      <c r="G4" s="6"/>
      <c r="H4" s="6"/>
    </row>
    <row r="5" customFormat="false" ht="13.5" hidden="false" customHeight="true" outlineLevel="0" collapsed="false">
      <c r="A5" s="2"/>
      <c r="B5" s="185"/>
      <c r="C5" s="185"/>
      <c r="D5" s="183"/>
      <c r="E5" s="185"/>
      <c r="F5" s="6"/>
      <c r="G5" s="6"/>
      <c r="H5" s="6"/>
    </row>
    <row r="6" customFormat="false" ht="13.5" hidden="false" customHeight="true" outlineLevel="0" collapsed="false">
      <c r="A6" s="186"/>
      <c r="B6" s="183"/>
      <c r="C6" s="183"/>
      <c r="D6" s="183"/>
      <c r="E6" s="185"/>
      <c r="F6" s="6"/>
      <c r="G6" s="6"/>
      <c r="H6" s="6"/>
    </row>
    <row r="7" customFormat="false" ht="13.5" hidden="false" customHeight="true" outlineLevel="0" collapsed="false">
      <c r="A7" s="186"/>
      <c r="B7" s="185"/>
      <c r="C7" s="185"/>
      <c r="D7" s="185"/>
      <c r="E7" s="185"/>
      <c r="F7" s="6"/>
      <c r="G7" s="6"/>
      <c r="H7" s="6"/>
    </row>
    <row r="8" customFormat="false" ht="39" hidden="false" customHeight="true" outlineLevel="0" collapsed="false">
      <c r="A8" s="187" t="s">
        <v>192</v>
      </c>
      <c r="B8" s="187"/>
      <c r="C8" s="187"/>
      <c r="D8" s="187"/>
      <c r="E8" s="187"/>
      <c r="F8" s="187"/>
      <c r="G8" s="187"/>
      <c r="H8" s="187"/>
    </row>
    <row r="9" customFormat="false" ht="56.25" hidden="false" customHeight="true" outlineLevel="0" collapsed="false">
      <c r="A9" s="188" t="str">
        <f aca="false">表紙!B14</f>
        <v>法人向け契約・請求・入金管理システム</v>
      </c>
      <c r="B9" s="188"/>
      <c r="C9" s="188"/>
      <c r="D9" s="188"/>
      <c r="E9" s="188"/>
      <c r="F9" s="188"/>
      <c r="G9" s="188"/>
      <c r="H9" s="188"/>
    </row>
    <row r="10" customFormat="false" ht="18.75" hidden="false" customHeight="true" outlineLevel="0" collapsed="false">
      <c r="E10" s="182"/>
    </row>
    <row r="11" customFormat="false" ht="21.75" hidden="false" customHeight="true" outlineLevel="0" collapsed="false">
      <c r="A11" s="189" t="s">
        <v>193</v>
      </c>
      <c r="B11" s="189"/>
      <c r="C11" s="189"/>
      <c r="D11" s="189"/>
      <c r="E11" s="189"/>
      <c r="F11" s="189"/>
      <c r="G11" s="189"/>
      <c r="H11" s="189"/>
    </row>
    <row r="12" customFormat="false" ht="30" hidden="false" customHeight="true" outlineLevel="0" collapsed="false">
      <c r="A12" s="190" t="s">
        <v>179</v>
      </c>
      <c r="B12" s="191" t="s">
        <v>32</v>
      </c>
      <c r="C12" s="191" t="s">
        <v>194</v>
      </c>
      <c r="D12" s="191" t="s">
        <v>195</v>
      </c>
      <c r="E12" s="191" t="s">
        <v>193</v>
      </c>
      <c r="F12" s="191" t="s">
        <v>196</v>
      </c>
      <c r="G12" s="191" t="s">
        <v>197</v>
      </c>
      <c r="H12" s="192" t="s">
        <v>198</v>
      </c>
    </row>
    <row r="13" customFormat="false" ht="23.85" hidden="false" customHeight="false" outlineLevel="0" collapsed="false">
      <c r="A13" s="193" t="n">
        <v>1</v>
      </c>
      <c r="B13" s="194" t="s">
        <v>199</v>
      </c>
      <c r="C13" s="195" t="s">
        <v>200</v>
      </c>
      <c r="D13" s="196" t="s">
        <v>201</v>
      </c>
      <c r="E13" s="197" t="n">
        <v>21</v>
      </c>
      <c r="F13" s="198" t="n">
        <f aca="false">CEILING((E13)*0.4, 0.1)</f>
        <v>8.4</v>
      </c>
      <c r="G13" s="198" t="n">
        <f aca="false">CEILING((E13)*0.1, 0.1)</f>
        <v>2.1</v>
      </c>
      <c r="H13" s="197" t="n">
        <f aca="false">SUM(E13:G13)</f>
        <v>31.5</v>
      </c>
    </row>
    <row r="14" customFormat="false" ht="15" hidden="false" customHeight="false" outlineLevel="0" collapsed="false">
      <c r="A14" s="193" t="n">
        <v>2</v>
      </c>
      <c r="B14" s="194" t="s">
        <v>199</v>
      </c>
      <c r="C14" s="195" t="s">
        <v>202</v>
      </c>
      <c r="D14" s="196" t="s">
        <v>203</v>
      </c>
      <c r="E14" s="197" t="n">
        <v>3.5</v>
      </c>
      <c r="F14" s="198" t="n">
        <f aca="false">CEILING((E14)*0.4, 0.1)</f>
        <v>1.4</v>
      </c>
      <c r="G14" s="198" t="n">
        <f aca="false">CEILING((E14)*0.1, 0.1)</f>
        <v>0.4</v>
      </c>
      <c r="H14" s="197" t="n">
        <f aca="false">SUM(E14:G14)</f>
        <v>5.3</v>
      </c>
    </row>
    <row r="15" customFormat="false" ht="15" hidden="false" customHeight="false" outlineLevel="0" collapsed="false">
      <c r="A15" s="193" t="n">
        <v>3</v>
      </c>
      <c r="B15" s="194" t="s">
        <v>199</v>
      </c>
      <c r="C15" s="195" t="s">
        <v>204</v>
      </c>
      <c r="D15" s="196" t="s">
        <v>205</v>
      </c>
      <c r="E15" s="197" t="n">
        <v>7</v>
      </c>
      <c r="F15" s="198" t="n">
        <f aca="false">CEILING((E15)*0.4, 0.1)</f>
        <v>2.8</v>
      </c>
      <c r="G15" s="198" t="n">
        <f aca="false">CEILING((E15)*0.1, 0.1)</f>
        <v>0.7</v>
      </c>
      <c r="H15" s="197" t="n">
        <f aca="false">SUM(E15:G15)</f>
        <v>10.5</v>
      </c>
    </row>
    <row r="16" customFormat="false" ht="23.85" hidden="false" customHeight="false" outlineLevel="0" collapsed="false">
      <c r="A16" s="193" t="n">
        <v>4</v>
      </c>
      <c r="B16" s="194" t="s">
        <v>199</v>
      </c>
      <c r="C16" s="195" t="s">
        <v>206</v>
      </c>
      <c r="D16" s="196" t="s">
        <v>207</v>
      </c>
      <c r="E16" s="197" t="n">
        <v>21</v>
      </c>
      <c r="F16" s="198" t="n">
        <f aca="false">CEILING((E16)*0.4, 0.1)</f>
        <v>8.4</v>
      </c>
      <c r="G16" s="198" t="n">
        <f aca="false">CEILING((E16)*0.1, 0.1)</f>
        <v>2.1</v>
      </c>
      <c r="H16" s="197" t="n">
        <f aca="false">SUM(E16:G16)</f>
        <v>31.5</v>
      </c>
    </row>
    <row r="17" customFormat="false" ht="23.85" hidden="false" customHeight="false" outlineLevel="0" collapsed="false">
      <c r="A17" s="193" t="n">
        <v>5</v>
      </c>
      <c r="B17" s="194" t="s">
        <v>199</v>
      </c>
      <c r="C17" s="195" t="s">
        <v>208</v>
      </c>
      <c r="D17" s="196" t="s">
        <v>209</v>
      </c>
      <c r="E17" s="197" t="n">
        <v>21</v>
      </c>
      <c r="F17" s="198" t="n">
        <f aca="false">CEILING((E17)*0.4, 0.1)</f>
        <v>8.4</v>
      </c>
      <c r="G17" s="198" t="n">
        <f aca="false">CEILING((E17)*0.1, 0.1)</f>
        <v>2.1</v>
      </c>
      <c r="H17" s="197" t="n">
        <f aca="false">SUM(E17:G17)</f>
        <v>31.5</v>
      </c>
    </row>
    <row r="18" customFormat="false" ht="15" hidden="false" customHeight="false" outlineLevel="0" collapsed="false">
      <c r="A18" s="193" t="n">
        <v>6</v>
      </c>
      <c r="B18" s="194" t="s">
        <v>210</v>
      </c>
      <c r="C18" s="195" t="s">
        <v>211</v>
      </c>
      <c r="D18" s="196" t="s">
        <v>212</v>
      </c>
      <c r="E18" s="197" t="n">
        <v>14</v>
      </c>
      <c r="F18" s="198" t="n">
        <f aca="false">CEILING((E18)*0.4, 0.1)</f>
        <v>5.6</v>
      </c>
      <c r="G18" s="198" t="n">
        <f aca="false">CEILING((E18)*0.1, 0.1)</f>
        <v>1.4</v>
      </c>
      <c r="H18" s="197" t="n">
        <f aca="false">SUM(E18:G18)</f>
        <v>21</v>
      </c>
    </row>
    <row r="19" customFormat="false" ht="23.85" hidden="false" customHeight="false" outlineLevel="0" collapsed="false">
      <c r="A19" s="193" t="n">
        <v>7</v>
      </c>
      <c r="B19" s="194" t="s">
        <v>210</v>
      </c>
      <c r="C19" s="195" t="s">
        <v>213</v>
      </c>
      <c r="D19" s="196" t="s">
        <v>214</v>
      </c>
      <c r="E19" s="197" t="n">
        <v>14</v>
      </c>
      <c r="F19" s="198" t="n">
        <f aca="false">CEILING((E19)*0.4, 0.1)</f>
        <v>5.6</v>
      </c>
      <c r="G19" s="198" t="n">
        <f aca="false">CEILING((E19)*0.1, 0.1)</f>
        <v>1.4</v>
      </c>
      <c r="H19" s="197" t="n">
        <f aca="false">SUM(E19:G19)</f>
        <v>21</v>
      </c>
    </row>
    <row r="20" customFormat="false" ht="23.85" hidden="false" customHeight="false" outlineLevel="0" collapsed="false">
      <c r="A20" s="193" t="n">
        <v>8</v>
      </c>
      <c r="B20" s="194" t="s">
        <v>210</v>
      </c>
      <c r="C20" s="195" t="s">
        <v>215</v>
      </c>
      <c r="D20" s="196" t="s">
        <v>216</v>
      </c>
      <c r="E20" s="197" t="n">
        <v>17.5</v>
      </c>
      <c r="F20" s="198" t="n">
        <f aca="false">CEILING((E20)*0.4, 0.1)</f>
        <v>7</v>
      </c>
      <c r="G20" s="198" t="n">
        <f aca="false">CEILING((E20)*0.1, 0.1)</f>
        <v>1.8</v>
      </c>
      <c r="H20" s="197" t="n">
        <f aca="false">SUM(E20:G20)</f>
        <v>26.3</v>
      </c>
    </row>
    <row r="21" customFormat="false" ht="15" hidden="false" customHeight="false" outlineLevel="0" collapsed="false">
      <c r="A21" s="193" t="n">
        <v>9</v>
      </c>
      <c r="B21" s="194" t="s">
        <v>210</v>
      </c>
      <c r="C21" s="195" t="s">
        <v>217</v>
      </c>
      <c r="D21" s="196" t="s">
        <v>218</v>
      </c>
      <c r="E21" s="197" t="n">
        <v>17.5</v>
      </c>
      <c r="F21" s="198" t="n">
        <f aca="false">CEILING((E21)*0.4, 0.1)</f>
        <v>7</v>
      </c>
      <c r="G21" s="198" t="n">
        <f aca="false">CEILING((E21)*0.1, 0.1)</f>
        <v>1.8</v>
      </c>
      <c r="H21" s="197" t="n">
        <f aca="false">SUM(E21:G21)</f>
        <v>26.3</v>
      </c>
    </row>
    <row r="22" customFormat="false" ht="15" hidden="false" customHeight="false" outlineLevel="0" collapsed="false">
      <c r="A22" s="193" t="n">
        <v>10</v>
      </c>
      <c r="B22" s="194" t="s">
        <v>210</v>
      </c>
      <c r="C22" s="195" t="s">
        <v>219</v>
      </c>
      <c r="D22" s="196" t="s">
        <v>220</v>
      </c>
      <c r="E22" s="197" t="n">
        <v>10.5</v>
      </c>
      <c r="F22" s="198" t="n">
        <f aca="false">CEILING((E22)*0.4, 0.1)</f>
        <v>4.2</v>
      </c>
      <c r="G22" s="198" t="n">
        <f aca="false">CEILING((E22)*0.1, 0.1)</f>
        <v>1.1</v>
      </c>
      <c r="H22" s="197" t="n">
        <f aca="false">SUM(E22:G22)</f>
        <v>15.8</v>
      </c>
    </row>
    <row r="23" customFormat="false" ht="23.85" hidden="false" customHeight="false" outlineLevel="0" collapsed="false">
      <c r="A23" s="193" t="n">
        <v>11</v>
      </c>
      <c r="B23" s="194" t="s">
        <v>210</v>
      </c>
      <c r="C23" s="195" t="s">
        <v>221</v>
      </c>
      <c r="D23" s="196" t="s">
        <v>222</v>
      </c>
      <c r="E23" s="197" t="n">
        <v>21</v>
      </c>
      <c r="F23" s="198" t="n">
        <f aca="false">CEILING((E23)*0.4, 0.1)</f>
        <v>8.4</v>
      </c>
      <c r="G23" s="198" t="n">
        <f aca="false">CEILING((E23)*0.1, 0.1)</f>
        <v>2.1</v>
      </c>
      <c r="H23" s="197" t="n">
        <f aca="false">SUM(E23:G23)</f>
        <v>31.5</v>
      </c>
    </row>
    <row r="24" customFormat="false" ht="23.85" hidden="false" customHeight="false" outlineLevel="0" collapsed="false">
      <c r="A24" s="193" t="n">
        <v>12</v>
      </c>
      <c r="B24" s="194" t="s">
        <v>210</v>
      </c>
      <c r="C24" s="195" t="s">
        <v>223</v>
      </c>
      <c r="D24" s="196" t="s">
        <v>224</v>
      </c>
      <c r="E24" s="197" t="n">
        <v>28</v>
      </c>
      <c r="F24" s="198" t="n">
        <f aca="false">CEILING((E24)*0.4, 0.1)</f>
        <v>11.2</v>
      </c>
      <c r="G24" s="198" t="n">
        <f aca="false">CEILING((E24)*0.1, 0.1)</f>
        <v>2.8</v>
      </c>
      <c r="H24" s="197" t="n">
        <f aca="false">SUM(E24:G24)</f>
        <v>42</v>
      </c>
    </row>
    <row r="25" customFormat="false" ht="15" hidden="false" customHeight="false" outlineLevel="0" collapsed="false">
      <c r="A25" s="193" t="n">
        <v>13</v>
      </c>
      <c r="B25" s="194" t="s">
        <v>210</v>
      </c>
      <c r="C25" s="195" t="s">
        <v>225</v>
      </c>
      <c r="D25" s="196" t="s">
        <v>226</v>
      </c>
      <c r="E25" s="197" t="n">
        <v>14</v>
      </c>
      <c r="F25" s="198" t="n">
        <f aca="false">CEILING((E25)*0.4, 0.1)</f>
        <v>5.6</v>
      </c>
      <c r="G25" s="198" t="n">
        <f aca="false">CEILING((E25)*0.1, 0.1)</f>
        <v>1.4</v>
      </c>
      <c r="H25" s="197" t="n">
        <f aca="false">SUM(E25:G25)</f>
        <v>21</v>
      </c>
    </row>
    <row r="26" customFormat="false" ht="15" hidden="false" customHeight="false" outlineLevel="0" collapsed="false">
      <c r="A26" s="193" t="n">
        <v>14</v>
      </c>
      <c r="B26" s="194" t="s">
        <v>227</v>
      </c>
      <c r="C26" s="195" t="s">
        <v>228</v>
      </c>
      <c r="D26" s="196" t="s">
        <v>229</v>
      </c>
      <c r="E26" s="197" t="n">
        <v>14</v>
      </c>
      <c r="F26" s="198" t="n">
        <f aca="false">CEILING((E26)*0.4, 0.1)</f>
        <v>5.6</v>
      </c>
      <c r="G26" s="198" t="n">
        <f aca="false">CEILING((E26)*0.1, 0.1)</f>
        <v>1.4</v>
      </c>
      <c r="H26" s="197" t="n">
        <f aca="false">SUM(E26:G26)</f>
        <v>21</v>
      </c>
    </row>
    <row r="27" customFormat="false" ht="15" hidden="false" customHeight="false" outlineLevel="0" collapsed="false">
      <c r="A27" s="193" t="n">
        <v>15</v>
      </c>
      <c r="B27" s="194" t="s">
        <v>227</v>
      </c>
      <c r="C27" s="195" t="s">
        <v>230</v>
      </c>
      <c r="D27" s="196" t="s">
        <v>231</v>
      </c>
      <c r="E27" s="197" t="n">
        <v>21</v>
      </c>
      <c r="F27" s="198" t="n">
        <f aca="false">CEILING((E27)*0.4, 0.1)</f>
        <v>8.4</v>
      </c>
      <c r="G27" s="198" t="n">
        <f aca="false">CEILING((E27)*0.1, 0.1)</f>
        <v>2.1</v>
      </c>
      <c r="H27" s="197" t="n">
        <f aca="false">SUM(E27:G27)</f>
        <v>31.5</v>
      </c>
    </row>
    <row r="28" customFormat="false" ht="15" hidden="false" customHeight="false" outlineLevel="0" collapsed="false">
      <c r="A28" s="193" t="n">
        <v>16</v>
      </c>
      <c r="B28" s="194" t="s">
        <v>227</v>
      </c>
      <c r="C28" s="195" t="s">
        <v>232</v>
      </c>
      <c r="D28" s="196" t="s">
        <v>233</v>
      </c>
      <c r="E28" s="197" t="n">
        <v>21</v>
      </c>
      <c r="F28" s="198" t="n">
        <f aca="false">CEILING((E28)*0.4, 0.1)</f>
        <v>8.4</v>
      </c>
      <c r="G28" s="198" t="n">
        <f aca="false">CEILING((E28)*0.1, 0.1)</f>
        <v>2.1</v>
      </c>
      <c r="H28" s="197" t="n">
        <f aca="false">SUM(E28:G28)</f>
        <v>31.5</v>
      </c>
    </row>
    <row r="29" customFormat="false" ht="15" hidden="false" customHeight="false" outlineLevel="0" collapsed="false">
      <c r="A29" s="193" t="n">
        <v>17</v>
      </c>
      <c r="B29" s="194" t="s">
        <v>227</v>
      </c>
      <c r="C29" s="195" t="s">
        <v>234</v>
      </c>
      <c r="D29" s="196" t="s">
        <v>235</v>
      </c>
      <c r="E29" s="197" t="n">
        <v>10.5</v>
      </c>
      <c r="F29" s="198" t="n">
        <f aca="false">CEILING((E29)*0.4, 0.1)</f>
        <v>4.2</v>
      </c>
      <c r="G29" s="198" t="n">
        <f aca="false">CEILING((E29)*0.1, 0.1)</f>
        <v>1.1</v>
      </c>
      <c r="H29" s="197" t="n">
        <f aca="false">SUM(E29:G29)</f>
        <v>15.8</v>
      </c>
    </row>
    <row r="30" customFormat="false" ht="15" hidden="false" customHeight="false" outlineLevel="0" collapsed="false">
      <c r="A30" s="193" t="n">
        <v>18</v>
      </c>
      <c r="B30" s="194" t="s">
        <v>227</v>
      </c>
      <c r="C30" s="195" t="s">
        <v>236</v>
      </c>
      <c r="D30" s="196" t="s">
        <v>237</v>
      </c>
      <c r="E30" s="197" t="n">
        <v>10.5</v>
      </c>
      <c r="F30" s="198" t="n">
        <f aca="false">CEILING((E30)*0.4, 0.1)</f>
        <v>4.2</v>
      </c>
      <c r="G30" s="198" t="n">
        <f aca="false">CEILING((E30)*0.1, 0.1)</f>
        <v>1.1</v>
      </c>
      <c r="H30" s="197" t="n">
        <f aca="false">SUM(E30:G30)</f>
        <v>15.8</v>
      </c>
    </row>
    <row r="31" customFormat="false" ht="23.85" hidden="false" customHeight="false" outlineLevel="0" collapsed="false">
      <c r="A31" s="193" t="n">
        <v>19</v>
      </c>
      <c r="B31" s="194" t="s">
        <v>227</v>
      </c>
      <c r="C31" s="195" t="s">
        <v>238</v>
      </c>
      <c r="D31" s="196" t="s">
        <v>239</v>
      </c>
      <c r="E31" s="197" t="n">
        <v>21</v>
      </c>
      <c r="F31" s="198" t="n">
        <f aca="false">CEILING((E31)*0.4, 0.1)</f>
        <v>8.4</v>
      </c>
      <c r="G31" s="198" t="n">
        <f aca="false">CEILING((E31)*0.1, 0.1)</f>
        <v>2.1</v>
      </c>
      <c r="H31" s="197" t="n">
        <f aca="false">SUM(E31:G31)</f>
        <v>31.5</v>
      </c>
    </row>
    <row r="32" customFormat="false" ht="15" hidden="false" customHeight="false" outlineLevel="0" collapsed="false">
      <c r="A32" s="193" t="n">
        <v>20</v>
      </c>
      <c r="B32" s="194" t="s">
        <v>227</v>
      </c>
      <c r="C32" s="195" t="s">
        <v>240</v>
      </c>
      <c r="D32" s="196" t="s">
        <v>241</v>
      </c>
      <c r="E32" s="197" t="n">
        <v>17.5</v>
      </c>
      <c r="F32" s="198" t="n">
        <f aca="false">CEILING((E32)*0.4, 0.1)</f>
        <v>7</v>
      </c>
      <c r="G32" s="198" t="n">
        <f aca="false">CEILING((E32)*0.1, 0.1)</f>
        <v>1.8</v>
      </c>
      <c r="H32" s="197" t="n">
        <f aca="false">SUM(E32:G32)</f>
        <v>26.3</v>
      </c>
    </row>
    <row r="33" customFormat="false" ht="15" hidden="false" customHeight="false" outlineLevel="0" collapsed="false">
      <c r="A33" s="193" t="n">
        <v>21</v>
      </c>
      <c r="B33" s="194" t="s">
        <v>242</v>
      </c>
      <c r="C33" s="195" t="s">
        <v>228</v>
      </c>
      <c r="D33" s="196" t="s">
        <v>243</v>
      </c>
      <c r="E33" s="197" t="n">
        <v>21</v>
      </c>
      <c r="F33" s="198" t="n">
        <f aca="false">CEILING((E33)*0.4, 0.1)</f>
        <v>8.4</v>
      </c>
      <c r="G33" s="198" t="n">
        <f aca="false">CEILING((E33)*0.1, 0.1)</f>
        <v>2.1</v>
      </c>
      <c r="H33" s="197" t="n">
        <f aca="false">SUM(E33:G33)</f>
        <v>31.5</v>
      </c>
    </row>
    <row r="34" customFormat="false" ht="15" hidden="false" customHeight="false" outlineLevel="0" collapsed="false">
      <c r="A34" s="193" t="n">
        <v>22</v>
      </c>
      <c r="B34" s="194" t="s">
        <v>242</v>
      </c>
      <c r="C34" s="195" t="s">
        <v>244</v>
      </c>
      <c r="D34" s="196" t="s">
        <v>245</v>
      </c>
      <c r="E34" s="197" t="n">
        <v>28</v>
      </c>
      <c r="F34" s="198" t="n">
        <f aca="false">CEILING((E34)*0.4, 0.1)</f>
        <v>11.2</v>
      </c>
      <c r="G34" s="198" t="n">
        <f aca="false">CEILING((E34)*0.1, 0.1)</f>
        <v>2.8</v>
      </c>
      <c r="H34" s="197" t="n">
        <f aca="false">SUM(E34:G34)</f>
        <v>42</v>
      </c>
    </row>
    <row r="35" customFormat="false" ht="23.85" hidden="false" customHeight="false" outlineLevel="0" collapsed="false">
      <c r="A35" s="193" t="n">
        <v>23</v>
      </c>
      <c r="B35" s="194" t="s">
        <v>242</v>
      </c>
      <c r="C35" s="195" t="s">
        <v>246</v>
      </c>
      <c r="D35" s="196" t="s">
        <v>247</v>
      </c>
      <c r="E35" s="197" t="n">
        <v>10.5</v>
      </c>
      <c r="F35" s="198" t="n">
        <f aca="false">CEILING((E35)*0.4, 0.1)</f>
        <v>4.2</v>
      </c>
      <c r="G35" s="198" t="n">
        <f aca="false">CEILING((E35)*0.1, 0.1)</f>
        <v>1.1</v>
      </c>
      <c r="H35" s="197" t="n">
        <f aca="false">SUM(E35:G35)</f>
        <v>15.8</v>
      </c>
    </row>
    <row r="36" customFormat="false" ht="15" hidden="false" customHeight="false" outlineLevel="0" collapsed="false">
      <c r="A36" s="193" t="n">
        <v>24</v>
      </c>
      <c r="B36" s="194" t="s">
        <v>242</v>
      </c>
      <c r="C36" s="195" t="s">
        <v>248</v>
      </c>
      <c r="D36" s="196" t="s">
        <v>249</v>
      </c>
      <c r="E36" s="197" t="n">
        <v>10.5</v>
      </c>
      <c r="F36" s="198" t="n">
        <f aca="false">CEILING((E36)*0.4, 0.1)</f>
        <v>4.2</v>
      </c>
      <c r="G36" s="198" t="n">
        <f aca="false">CEILING((E36)*0.1, 0.1)</f>
        <v>1.1</v>
      </c>
      <c r="H36" s="197" t="n">
        <f aca="false">SUM(E36:G36)</f>
        <v>15.8</v>
      </c>
    </row>
    <row r="37" customFormat="false" ht="15" hidden="false" customHeight="false" outlineLevel="0" collapsed="false">
      <c r="A37" s="193" t="n">
        <v>25</v>
      </c>
      <c r="B37" s="194" t="s">
        <v>242</v>
      </c>
      <c r="C37" s="195" t="s">
        <v>250</v>
      </c>
      <c r="D37" s="196" t="s">
        <v>251</v>
      </c>
      <c r="E37" s="197" t="n">
        <v>10.5</v>
      </c>
      <c r="F37" s="198" t="n">
        <f aca="false">CEILING((E37)*0.4, 0.1)</f>
        <v>4.2</v>
      </c>
      <c r="G37" s="198" t="n">
        <f aca="false">CEILING((E37)*0.1, 0.1)</f>
        <v>1.1</v>
      </c>
      <c r="H37" s="197" t="n">
        <f aca="false">SUM(E37:G37)</f>
        <v>15.8</v>
      </c>
    </row>
    <row r="38" customFormat="false" ht="23.85" hidden="false" customHeight="false" outlineLevel="0" collapsed="false">
      <c r="A38" s="193" t="n">
        <v>26</v>
      </c>
      <c r="B38" s="194" t="s">
        <v>242</v>
      </c>
      <c r="C38" s="195" t="s">
        <v>252</v>
      </c>
      <c r="D38" s="196" t="s">
        <v>253</v>
      </c>
      <c r="E38" s="197" t="n">
        <v>17.5</v>
      </c>
      <c r="F38" s="198" t="n">
        <f aca="false">CEILING((E38)*0.4, 0.1)</f>
        <v>7</v>
      </c>
      <c r="G38" s="198" t="n">
        <f aca="false">CEILING((E38)*0.1, 0.1)</f>
        <v>1.8</v>
      </c>
      <c r="H38" s="197" t="n">
        <f aca="false">SUM(E38:G38)</f>
        <v>26.3</v>
      </c>
    </row>
    <row r="39" customFormat="false" ht="15" hidden="false" customHeight="false" outlineLevel="0" collapsed="false">
      <c r="A39" s="193" t="n">
        <v>27</v>
      </c>
      <c r="B39" s="194" t="s">
        <v>242</v>
      </c>
      <c r="C39" s="195" t="s">
        <v>254</v>
      </c>
      <c r="D39" s="196" t="s">
        <v>255</v>
      </c>
      <c r="E39" s="197" t="n">
        <v>10.5</v>
      </c>
      <c r="F39" s="198" t="n">
        <f aca="false">CEILING((E39)*0.4, 0.1)</f>
        <v>4.2</v>
      </c>
      <c r="G39" s="198" t="n">
        <f aca="false">CEILING((E39)*0.1, 0.1)</f>
        <v>1.1</v>
      </c>
      <c r="H39" s="197" t="n">
        <f aca="false">SUM(E39:G39)</f>
        <v>15.8</v>
      </c>
    </row>
    <row r="40" customFormat="false" ht="23.85" hidden="false" customHeight="false" outlineLevel="0" collapsed="false">
      <c r="A40" s="193" t="n">
        <v>28</v>
      </c>
      <c r="B40" s="194" t="s">
        <v>256</v>
      </c>
      <c r="C40" s="195" t="s">
        <v>257</v>
      </c>
      <c r="D40" s="196" t="s">
        <v>258</v>
      </c>
      <c r="E40" s="197" t="n">
        <v>17.5</v>
      </c>
      <c r="F40" s="198" t="n">
        <f aca="false">CEILING((E40)*0.4, 0.1)</f>
        <v>7</v>
      </c>
      <c r="G40" s="198" t="n">
        <f aca="false">CEILING((E40)*0.1, 0.1)</f>
        <v>1.8</v>
      </c>
      <c r="H40" s="197" t="n">
        <f aca="false">SUM(E40:G40)</f>
        <v>26.3</v>
      </c>
    </row>
    <row r="41" customFormat="false" ht="23.85" hidden="false" customHeight="false" outlineLevel="0" collapsed="false">
      <c r="A41" s="193" t="n">
        <v>29</v>
      </c>
      <c r="B41" s="194" t="s">
        <v>256</v>
      </c>
      <c r="C41" s="195" t="s">
        <v>259</v>
      </c>
      <c r="D41" s="196" t="s">
        <v>260</v>
      </c>
      <c r="E41" s="197" t="n">
        <v>28</v>
      </c>
      <c r="F41" s="198" t="n">
        <f aca="false">CEILING((E41)*0.4, 0.1)</f>
        <v>11.2</v>
      </c>
      <c r="G41" s="198" t="n">
        <f aca="false">CEILING((E41)*0.1, 0.1)</f>
        <v>2.8</v>
      </c>
      <c r="H41" s="197" t="n">
        <f aca="false">SUM(E41:G41)</f>
        <v>42</v>
      </c>
    </row>
    <row r="42" customFormat="false" ht="23.85" hidden="false" customHeight="false" outlineLevel="0" collapsed="false">
      <c r="A42" s="193" t="n">
        <v>30</v>
      </c>
      <c r="B42" s="194" t="s">
        <v>256</v>
      </c>
      <c r="C42" s="195" t="s">
        <v>261</v>
      </c>
      <c r="D42" s="196" t="s">
        <v>262</v>
      </c>
      <c r="E42" s="197" t="n">
        <v>10.5</v>
      </c>
      <c r="F42" s="198" t="n">
        <f aca="false">CEILING((E42)*0.4, 0.1)</f>
        <v>4.2</v>
      </c>
      <c r="G42" s="198" t="n">
        <f aca="false">CEILING((E42)*0.1, 0.1)</f>
        <v>1.1</v>
      </c>
      <c r="H42" s="197" t="n">
        <f aca="false">SUM(E42:G42)</f>
        <v>15.8</v>
      </c>
    </row>
    <row r="43" customFormat="false" ht="23.85" hidden="false" customHeight="false" outlineLevel="0" collapsed="false">
      <c r="A43" s="193" t="n">
        <v>31</v>
      </c>
      <c r="B43" s="194" t="s">
        <v>263</v>
      </c>
      <c r="C43" s="195" t="s">
        <v>264</v>
      </c>
      <c r="D43" s="196" t="s">
        <v>265</v>
      </c>
      <c r="E43" s="197" t="n">
        <v>14</v>
      </c>
      <c r="F43" s="198" t="n">
        <f aca="false">CEILING((E43)*0.4, 0.1)</f>
        <v>5.6</v>
      </c>
      <c r="G43" s="198" t="n">
        <f aca="false">CEILING((E43)*0.1, 0.1)</f>
        <v>1.4</v>
      </c>
      <c r="H43" s="197" t="n">
        <f aca="false">SUM(E43:G43)</f>
        <v>21</v>
      </c>
    </row>
    <row r="44" customFormat="false" ht="15" hidden="false" customHeight="false" outlineLevel="0" collapsed="false">
      <c r="A44" s="193" t="n">
        <v>32</v>
      </c>
      <c r="B44" s="194" t="s">
        <v>263</v>
      </c>
      <c r="C44" s="195" t="s">
        <v>266</v>
      </c>
      <c r="D44" s="196" t="s">
        <v>267</v>
      </c>
      <c r="E44" s="197" t="n">
        <v>21</v>
      </c>
      <c r="F44" s="198" t="n">
        <f aca="false">CEILING((E44)*0.4, 0.1)</f>
        <v>8.4</v>
      </c>
      <c r="G44" s="198" t="n">
        <f aca="false">CEILING((E44)*0.1, 0.1)</f>
        <v>2.1</v>
      </c>
      <c r="H44" s="197" t="n">
        <f aca="false">SUM(E44:G44)</f>
        <v>31.5</v>
      </c>
    </row>
    <row r="45" customFormat="false" ht="23.85" hidden="false" customHeight="false" outlineLevel="0" collapsed="false">
      <c r="A45" s="193" t="n">
        <v>33</v>
      </c>
      <c r="B45" s="194" t="s">
        <v>263</v>
      </c>
      <c r="C45" s="195" t="s">
        <v>268</v>
      </c>
      <c r="D45" s="196" t="s">
        <v>269</v>
      </c>
      <c r="E45" s="197" t="n">
        <v>17.5</v>
      </c>
      <c r="F45" s="198" t="n">
        <f aca="false">CEILING((E45)*0.4, 0.1)</f>
        <v>7</v>
      </c>
      <c r="G45" s="198" t="n">
        <f aca="false">CEILING((E45)*0.1, 0.1)</f>
        <v>1.8</v>
      </c>
      <c r="H45" s="197" t="n">
        <f aca="false">SUM(E45:G45)</f>
        <v>26.3</v>
      </c>
    </row>
    <row r="46" customFormat="false" ht="15" hidden="false" customHeight="false" outlineLevel="0" collapsed="false">
      <c r="A46" s="193" t="n">
        <v>34</v>
      </c>
      <c r="B46" s="194" t="s">
        <v>270</v>
      </c>
      <c r="C46" s="195" t="s">
        <v>271</v>
      </c>
      <c r="D46" s="196" t="s">
        <v>272</v>
      </c>
      <c r="E46" s="197" t="n">
        <v>21</v>
      </c>
      <c r="F46" s="198" t="n">
        <f aca="false">CEILING((E46)*0.4, 0.1)</f>
        <v>8.4</v>
      </c>
      <c r="G46" s="198" t="n">
        <f aca="false">CEILING((E46)*0.1, 0.1)</f>
        <v>2.1</v>
      </c>
      <c r="H46" s="197" t="n">
        <f aca="false">SUM(E46:G46)</f>
        <v>31.5</v>
      </c>
    </row>
    <row r="47" customFormat="false" ht="15" hidden="false" customHeight="false" outlineLevel="0" collapsed="false">
      <c r="A47" s="193" t="n">
        <v>35</v>
      </c>
      <c r="B47" s="194" t="s">
        <v>270</v>
      </c>
      <c r="C47" s="195" t="s">
        <v>273</v>
      </c>
      <c r="D47" s="196" t="s">
        <v>274</v>
      </c>
      <c r="E47" s="197" t="n">
        <v>10.5</v>
      </c>
      <c r="F47" s="198" t="n">
        <f aca="false">CEILING((E47)*0.4, 0.1)</f>
        <v>4.2</v>
      </c>
      <c r="G47" s="198" t="n">
        <f aca="false">CEILING((E47)*0.1, 0.1)</f>
        <v>1.1</v>
      </c>
      <c r="H47" s="197" t="n">
        <f aca="false">SUM(E47:G47)</f>
        <v>15.8</v>
      </c>
    </row>
    <row r="48" customFormat="false" ht="15" hidden="false" customHeight="false" outlineLevel="0" collapsed="false">
      <c r="A48" s="193" t="n">
        <v>36</v>
      </c>
      <c r="B48" s="194" t="s">
        <v>270</v>
      </c>
      <c r="C48" s="195" t="s">
        <v>275</v>
      </c>
      <c r="D48" s="196" t="s">
        <v>276</v>
      </c>
      <c r="E48" s="197" t="n">
        <v>10.5</v>
      </c>
      <c r="F48" s="198" t="n">
        <f aca="false">CEILING((E48)*0.4, 0.1)</f>
        <v>4.2</v>
      </c>
      <c r="G48" s="198" t="n">
        <f aca="false">CEILING((E48)*0.1, 0.1)</f>
        <v>1.1</v>
      </c>
      <c r="H48" s="197" t="n">
        <f aca="false">SUM(E48:G48)</f>
        <v>15.8</v>
      </c>
    </row>
    <row r="49" customFormat="false" ht="23.85" hidden="false" customHeight="false" outlineLevel="0" collapsed="false">
      <c r="A49" s="193" t="n">
        <v>37</v>
      </c>
      <c r="B49" s="194" t="s">
        <v>277</v>
      </c>
      <c r="C49" s="195" t="s">
        <v>278</v>
      </c>
      <c r="D49" s="196" t="s">
        <v>279</v>
      </c>
      <c r="E49" s="197" t="n">
        <v>21</v>
      </c>
      <c r="F49" s="198" t="n">
        <f aca="false">CEILING((E49)*0.4, 0.1)</f>
        <v>8.4</v>
      </c>
      <c r="G49" s="198" t="n">
        <f aca="false">CEILING((E49)*0.1, 0.1)</f>
        <v>2.1</v>
      </c>
      <c r="H49" s="197" t="n">
        <f aca="false">SUM(E49:G49)</f>
        <v>31.5</v>
      </c>
    </row>
    <row r="50" customFormat="false" ht="23.85" hidden="false" customHeight="false" outlineLevel="0" collapsed="false">
      <c r="A50" s="193" t="n">
        <v>38</v>
      </c>
      <c r="B50" s="194" t="s">
        <v>277</v>
      </c>
      <c r="C50" s="195" t="s">
        <v>280</v>
      </c>
      <c r="D50" s="196" t="s">
        <v>281</v>
      </c>
      <c r="E50" s="197" t="n">
        <v>14</v>
      </c>
      <c r="F50" s="198" t="n">
        <f aca="false">CEILING((E50)*0.4, 0.1)</f>
        <v>5.6</v>
      </c>
      <c r="G50" s="198" t="n">
        <f aca="false">CEILING((E50)*0.1, 0.1)</f>
        <v>1.4</v>
      </c>
      <c r="H50" s="197" t="n">
        <f aca="false">SUM(E50:G50)</f>
        <v>21</v>
      </c>
    </row>
    <row r="51" customFormat="false" ht="15" hidden="false" customHeight="false" outlineLevel="0" collapsed="false">
      <c r="A51" s="193"/>
      <c r="B51" s="194"/>
      <c r="C51" s="195"/>
      <c r="D51" s="196"/>
      <c r="E51" s="197"/>
      <c r="F51" s="198"/>
      <c r="G51" s="198"/>
      <c r="H51" s="197"/>
    </row>
    <row r="52" customFormat="false" ht="15" hidden="false" customHeight="false" outlineLevel="0" collapsed="false">
      <c r="A52" s="193"/>
      <c r="B52" s="194"/>
      <c r="C52" s="195"/>
      <c r="D52" s="196"/>
      <c r="E52" s="197"/>
      <c r="F52" s="198"/>
      <c r="G52" s="198"/>
      <c r="H52" s="197"/>
    </row>
    <row r="53" customFormat="false" ht="15" hidden="false" customHeight="false" outlineLevel="0" collapsed="false">
      <c r="A53" s="193"/>
      <c r="B53" s="194"/>
      <c r="C53" s="195"/>
      <c r="D53" s="196"/>
      <c r="E53" s="197"/>
      <c r="F53" s="198"/>
      <c r="G53" s="198"/>
      <c r="H53" s="197"/>
    </row>
    <row r="54" customFormat="false" ht="15" hidden="false" customHeight="false" outlineLevel="0" collapsed="false">
      <c r="A54" s="193"/>
      <c r="B54" s="194"/>
      <c r="C54" s="195"/>
      <c r="D54" s="196"/>
      <c r="E54" s="197"/>
      <c r="F54" s="198"/>
      <c r="G54" s="198"/>
      <c r="H54" s="197"/>
    </row>
    <row r="55" customFormat="false" ht="15" hidden="false" customHeight="false" outlineLevel="0" collapsed="false">
      <c r="A55" s="193"/>
      <c r="B55" s="194"/>
      <c r="C55" s="195"/>
      <c r="D55" s="196"/>
      <c r="E55" s="197"/>
      <c r="F55" s="198"/>
      <c r="G55" s="198"/>
      <c r="H55" s="197"/>
    </row>
    <row r="56" customFormat="false" ht="15" hidden="false" customHeight="false" outlineLevel="0" collapsed="false">
      <c r="A56" s="193"/>
      <c r="B56" s="194"/>
      <c r="C56" s="195"/>
      <c r="D56" s="196"/>
      <c r="E56" s="197"/>
      <c r="F56" s="198"/>
      <c r="G56" s="198"/>
      <c r="H56" s="197"/>
    </row>
    <row r="57" customFormat="false" ht="15" hidden="false" customHeight="false" outlineLevel="0" collapsed="false">
      <c r="A57" s="193"/>
      <c r="B57" s="194"/>
      <c r="C57" s="195"/>
      <c r="D57" s="196"/>
      <c r="E57" s="197"/>
      <c r="F57" s="198"/>
      <c r="G57" s="198"/>
      <c r="H57" s="197"/>
    </row>
    <row r="58" customFormat="false" ht="15" hidden="false" customHeight="false" outlineLevel="0" collapsed="false">
      <c r="A58" s="193"/>
      <c r="B58" s="194"/>
      <c r="C58" s="195"/>
      <c r="D58" s="196"/>
      <c r="E58" s="197"/>
      <c r="F58" s="198"/>
      <c r="G58" s="198"/>
      <c r="H58" s="197"/>
    </row>
    <row r="59" customFormat="false" ht="15" hidden="false" customHeight="false" outlineLevel="0" collapsed="false">
      <c r="A59" s="193"/>
      <c r="B59" s="194"/>
      <c r="C59" s="195"/>
      <c r="D59" s="196"/>
      <c r="E59" s="197"/>
      <c r="F59" s="198"/>
      <c r="G59" s="198"/>
      <c r="H59" s="197"/>
    </row>
    <row r="60" customFormat="false" ht="15" hidden="false" customHeight="false" outlineLevel="0" collapsed="false">
      <c r="A60" s="193"/>
      <c r="B60" s="194"/>
      <c r="C60" s="195"/>
      <c r="D60" s="196"/>
      <c r="E60" s="197"/>
      <c r="F60" s="198"/>
      <c r="G60" s="198"/>
      <c r="H60" s="197"/>
    </row>
    <row r="61" customFormat="false" ht="15" hidden="false" customHeight="false" outlineLevel="0" collapsed="false">
      <c r="A61" s="193"/>
      <c r="B61" s="194"/>
      <c r="C61" s="195"/>
      <c r="D61" s="196"/>
      <c r="E61" s="197"/>
      <c r="F61" s="198"/>
      <c r="G61" s="198"/>
      <c r="H61" s="197"/>
    </row>
    <row r="62" customFormat="false" ht="15" hidden="false" customHeight="false" outlineLevel="0" collapsed="false">
      <c r="A62" s="193"/>
      <c r="B62" s="194"/>
      <c r="C62" s="195"/>
      <c r="D62" s="196"/>
      <c r="E62" s="197"/>
      <c r="F62" s="198"/>
      <c r="G62" s="198"/>
      <c r="H62" s="197"/>
    </row>
    <row r="63" customFormat="false" ht="15" hidden="false" customHeight="false" outlineLevel="0" collapsed="false">
      <c r="A63" s="193"/>
      <c r="B63" s="194"/>
      <c r="C63" s="195"/>
      <c r="D63" s="196"/>
      <c r="E63" s="197"/>
      <c r="F63" s="198"/>
      <c r="G63" s="198"/>
      <c r="H63" s="197"/>
    </row>
    <row r="64" customFormat="false" ht="15" hidden="false" customHeight="false" outlineLevel="0" collapsed="false">
      <c r="A64" s="193"/>
      <c r="B64" s="194"/>
      <c r="C64" s="195"/>
      <c r="D64" s="196"/>
      <c r="E64" s="197"/>
      <c r="F64" s="198"/>
      <c r="G64" s="198"/>
      <c r="H64" s="197"/>
    </row>
    <row r="65" customFormat="false" ht="21.75" hidden="false" customHeight="true" outlineLevel="0" collapsed="false">
      <c r="A65" s="199"/>
      <c r="B65" s="200" t="s">
        <v>282</v>
      </c>
      <c r="C65" s="200"/>
      <c r="D65" s="200"/>
      <c r="E65" s="201" t="n">
        <f aca="false">SUM(E13:E50)</f>
        <v>619.5</v>
      </c>
      <c r="F65" s="201" t="n">
        <f aca="false">SUM(F13:F50)</f>
        <v>247.8</v>
      </c>
      <c r="G65" s="201" t="n">
        <f aca="false">SUM(G13:G50)</f>
        <v>62.8</v>
      </c>
      <c r="H65" s="201" t="n">
        <f aca="false">SUM(H13:H50)</f>
        <v>930.1</v>
      </c>
    </row>
    <row r="66" customFormat="false" ht="18" hidden="false" customHeight="true" outlineLevel="0" collapsed="false">
      <c r="E66" s="182"/>
    </row>
    <row r="67" customFormat="false" ht="18" hidden="false" customHeight="true" outlineLevel="0" collapsed="false">
      <c r="A67" s="189" t="s">
        <v>283</v>
      </c>
      <c r="B67" s="189"/>
      <c r="C67" s="189"/>
      <c r="D67" s="189"/>
      <c r="E67" s="189"/>
      <c r="F67" s="189"/>
      <c r="G67" s="189"/>
      <c r="H67" s="189"/>
    </row>
    <row r="68" customFormat="false" ht="18" hidden="false" customHeight="true" outlineLevel="0" collapsed="false">
      <c r="A68" s="192" t="s">
        <v>284</v>
      </c>
      <c r="B68" s="192" t="s">
        <v>32</v>
      </c>
      <c r="C68" s="192" t="s">
        <v>285</v>
      </c>
      <c r="D68" s="192" t="s">
        <v>286</v>
      </c>
      <c r="E68" s="192" t="s">
        <v>182</v>
      </c>
      <c r="F68" s="192"/>
      <c r="G68" s="192"/>
      <c r="H68" s="192" t="s">
        <v>198</v>
      </c>
    </row>
    <row r="69" customFormat="false" ht="15" hidden="false" customHeight="false" outlineLevel="0" collapsed="false">
      <c r="A69" s="202" t="n">
        <v>1</v>
      </c>
      <c r="B69" s="203"/>
      <c r="C69" s="204"/>
      <c r="D69" s="205"/>
      <c r="E69" s="206"/>
      <c r="F69" s="207" t="s">
        <v>287</v>
      </c>
      <c r="G69" s="208" t="n">
        <f aca="false">CEILING((E69)*0.1, 0.1)</f>
        <v>0</v>
      </c>
      <c r="H69" s="209" t="n">
        <f aca="false">SUM(E69:G69)</f>
        <v>0</v>
      </c>
    </row>
    <row r="70" customFormat="false" ht="15" hidden="false" customHeight="false" outlineLevel="0" collapsed="false">
      <c r="A70" s="202" t="n">
        <v>2</v>
      </c>
      <c r="B70" s="203"/>
      <c r="C70" s="205"/>
      <c r="D70" s="205"/>
      <c r="E70" s="206"/>
      <c r="F70" s="207" t="s">
        <v>287</v>
      </c>
      <c r="G70" s="208" t="n">
        <f aca="false">CEILING((E70)*0.1, 0.1)</f>
        <v>0</v>
      </c>
      <c r="H70" s="209" t="n">
        <f aca="false">SUM(E70:G70)</f>
        <v>0</v>
      </c>
    </row>
    <row r="71" customFormat="false" ht="15" hidden="false" customHeight="false" outlineLevel="0" collapsed="false">
      <c r="A71" s="202" t="n">
        <v>3</v>
      </c>
      <c r="B71" s="203"/>
      <c r="C71" s="205"/>
      <c r="D71" s="205"/>
      <c r="E71" s="206"/>
      <c r="F71" s="207" t="s">
        <v>287</v>
      </c>
      <c r="G71" s="208" t="n">
        <f aca="false">CEILING((E71)*0.1, 0.1)</f>
        <v>0</v>
      </c>
      <c r="H71" s="209" t="n">
        <f aca="false">SUM(E71:G71)</f>
        <v>0</v>
      </c>
    </row>
    <row r="72" customFormat="false" ht="15" hidden="false" customHeight="false" outlineLevel="0" collapsed="false">
      <c r="A72" s="202" t="n">
        <v>4</v>
      </c>
      <c r="B72" s="203"/>
      <c r="C72" s="203"/>
      <c r="D72" s="203"/>
      <c r="E72" s="210"/>
      <c r="F72" s="209" t="s">
        <v>287</v>
      </c>
      <c r="G72" s="198" t="n">
        <f aca="false">CEILING((E72)*0.1, 0.1)</f>
        <v>0</v>
      </c>
      <c r="H72" s="209" t="n">
        <f aca="false">SUM(E72:G72)</f>
        <v>0</v>
      </c>
    </row>
    <row r="73" customFormat="false" ht="18" hidden="false" customHeight="true" outlineLevel="0" collapsed="false">
      <c r="A73" s="199"/>
      <c r="B73" s="200" t="s">
        <v>282</v>
      </c>
      <c r="C73" s="200"/>
      <c r="D73" s="200"/>
      <c r="E73" s="201" t="n">
        <f aca="false">SUM(E69:E72)</f>
        <v>0</v>
      </c>
      <c r="F73" s="201"/>
      <c r="G73" s="201" t="n">
        <f aca="false">SUM(G69:G72)</f>
        <v>0</v>
      </c>
      <c r="H73" s="201" t="n">
        <f aca="false">SUM(H69:H72)</f>
        <v>0</v>
      </c>
    </row>
    <row r="74" customFormat="false" ht="18" hidden="false" customHeight="true" outlineLevel="0" collapsed="false">
      <c r="E74" s="182"/>
    </row>
    <row r="75" customFormat="false" ht="21.75" hidden="false" customHeight="true" outlineLevel="0" collapsed="false">
      <c r="A75" s="189" t="s">
        <v>288</v>
      </c>
      <c r="B75" s="189"/>
      <c r="C75" s="189"/>
      <c r="D75" s="189"/>
      <c r="E75" s="189"/>
      <c r="F75" s="189"/>
      <c r="G75" s="189"/>
      <c r="H75" s="189"/>
    </row>
    <row r="76" customFormat="false" ht="30" hidden="false" customHeight="true" outlineLevel="0" collapsed="false">
      <c r="A76" s="192" t="s">
        <v>284</v>
      </c>
      <c r="B76" s="192" t="s">
        <v>32</v>
      </c>
      <c r="C76" s="192" t="s">
        <v>285</v>
      </c>
      <c r="D76" s="192" t="s">
        <v>286</v>
      </c>
      <c r="E76" s="192" t="s">
        <v>182</v>
      </c>
      <c r="F76" s="192"/>
      <c r="G76" s="192"/>
      <c r="H76" s="192" t="s">
        <v>198</v>
      </c>
    </row>
    <row r="77" customFormat="false" ht="23.85" hidden="false" customHeight="false" outlineLevel="0" collapsed="false">
      <c r="A77" s="202" t="n">
        <v>1</v>
      </c>
      <c r="B77" s="211" t="s">
        <v>289</v>
      </c>
      <c r="C77" s="204" t="s">
        <v>290</v>
      </c>
      <c r="D77" s="205" t="s">
        <v>291</v>
      </c>
      <c r="E77" s="206" t="n">
        <v>16</v>
      </c>
      <c r="F77" s="207" t="s">
        <v>287</v>
      </c>
      <c r="G77" s="208" t="n">
        <f aca="false">CEILING((E77)*0.1, 0.1)</f>
        <v>1.6</v>
      </c>
      <c r="H77" s="209" t="n">
        <f aca="false">SUM(E77:G77)</f>
        <v>17.6</v>
      </c>
    </row>
    <row r="78" customFormat="false" ht="15" hidden="false" customHeight="false" outlineLevel="0" collapsed="false">
      <c r="A78" s="202" t="n">
        <v>2</v>
      </c>
      <c r="B78" s="203" t="s">
        <v>292</v>
      </c>
      <c r="C78" s="205" t="s">
        <v>293</v>
      </c>
      <c r="D78" s="205"/>
      <c r="E78" s="206" t="n">
        <v>16</v>
      </c>
      <c r="F78" s="207" t="s">
        <v>287</v>
      </c>
      <c r="G78" s="208" t="n">
        <f aca="false">CEILING((E78)*0.1, 0.1)</f>
        <v>1.6</v>
      </c>
      <c r="H78" s="209" t="n">
        <f aca="false">SUM(E78:G78)</f>
        <v>17.6</v>
      </c>
    </row>
    <row r="79" customFormat="false" ht="21.75" hidden="false" customHeight="true" outlineLevel="0" collapsed="false">
      <c r="A79" s="199"/>
      <c r="B79" s="200" t="s">
        <v>282</v>
      </c>
      <c r="C79" s="200"/>
      <c r="D79" s="200"/>
      <c r="E79" s="201" t="n">
        <f aca="false">SUM(E77:E78)</f>
        <v>32</v>
      </c>
      <c r="F79" s="201"/>
      <c r="G79" s="201" t="n">
        <f aca="false">SUM(G77:G78)</f>
        <v>3.2</v>
      </c>
      <c r="H79" s="201" t="n">
        <f aca="false">SUM(H77:H78)</f>
        <v>35.2</v>
      </c>
    </row>
    <row r="81" customFormat="false" ht="21.75" hidden="false" customHeight="true" outlineLevel="0" collapsed="false">
      <c r="A81" s="189" t="s">
        <v>294</v>
      </c>
      <c r="B81" s="189"/>
      <c r="C81" s="189"/>
      <c r="D81" s="189"/>
      <c r="E81" s="189"/>
      <c r="F81" s="189"/>
      <c r="G81" s="189"/>
      <c r="H81" s="189"/>
    </row>
    <row r="82" customFormat="false" ht="30" hidden="false" customHeight="true" outlineLevel="0" collapsed="false">
      <c r="A82" s="192" t="s">
        <v>284</v>
      </c>
      <c r="B82" s="192" t="s">
        <v>32</v>
      </c>
      <c r="C82" s="192" t="s">
        <v>285</v>
      </c>
      <c r="D82" s="192" t="s">
        <v>286</v>
      </c>
      <c r="E82" s="192" t="s">
        <v>182</v>
      </c>
      <c r="F82" s="192"/>
      <c r="G82" s="192"/>
      <c r="H82" s="192" t="s">
        <v>198</v>
      </c>
    </row>
    <row r="83" customFormat="false" ht="15" hidden="false" customHeight="false" outlineLevel="0" collapsed="false">
      <c r="A83" s="202" t="n">
        <v>1</v>
      </c>
      <c r="B83" s="203" t="s">
        <v>295</v>
      </c>
      <c r="C83" s="203" t="s">
        <v>296</v>
      </c>
      <c r="D83" s="203"/>
      <c r="E83" s="210" t="n">
        <v>8</v>
      </c>
      <c r="F83" s="209" t="s">
        <v>287</v>
      </c>
      <c r="G83" s="209" t="s">
        <v>287</v>
      </c>
      <c r="H83" s="209" t="n">
        <f aca="false">SUM(E83:G83)</f>
        <v>8</v>
      </c>
    </row>
    <row r="84" customFormat="false" ht="23.85" hidden="false" customHeight="false" outlineLevel="0" collapsed="false">
      <c r="A84" s="202" t="n">
        <v>3</v>
      </c>
      <c r="B84" s="203" t="s">
        <v>297</v>
      </c>
      <c r="C84" s="203" t="s">
        <v>298</v>
      </c>
      <c r="D84" s="203" t="s">
        <v>299</v>
      </c>
      <c r="E84" s="210" t="n">
        <v>40</v>
      </c>
      <c r="F84" s="209" t="s">
        <v>287</v>
      </c>
      <c r="G84" s="209" t="s">
        <v>287</v>
      </c>
      <c r="H84" s="209" t="n">
        <f aca="false">SUM(E84:G84)</f>
        <v>40</v>
      </c>
    </row>
    <row r="85" customFormat="false" ht="21.75" hidden="false" customHeight="true" outlineLevel="0" collapsed="false">
      <c r="A85" s="199"/>
      <c r="B85" s="200" t="s">
        <v>282</v>
      </c>
      <c r="C85" s="200"/>
      <c r="D85" s="200"/>
      <c r="E85" s="201" t="n">
        <f aca="false">SUM(E83:E84)</f>
        <v>48</v>
      </c>
      <c r="F85" s="201"/>
      <c r="G85" s="201" t="n">
        <f aca="false">SUM(G83:G84)</f>
        <v>0</v>
      </c>
      <c r="H85" s="201" t="n">
        <f aca="false">SUM(H83:H84)</f>
        <v>48</v>
      </c>
    </row>
    <row r="86" customFormat="false" ht="18" hidden="false" customHeight="true" outlineLevel="0" collapsed="false">
      <c r="H86" s="212"/>
    </row>
    <row r="87" customFormat="false" ht="21.75" hidden="false" customHeight="true" outlineLevel="0" collapsed="false">
      <c r="A87" s="213" t="s">
        <v>300</v>
      </c>
      <c r="B87" s="213"/>
      <c r="C87" s="213"/>
      <c r="D87" s="213"/>
      <c r="E87" s="213"/>
      <c r="F87" s="213"/>
      <c r="G87" s="213"/>
      <c r="H87" s="213"/>
    </row>
    <row r="88" customFormat="false" ht="30" hidden="false" customHeight="true" outlineLevel="0" collapsed="false">
      <c r="A88" s="192" t="s">
        <v>284</v>
      </c>
      <c r="B88" s="192" t="s">
        <v>32</v>
      </c>
      <c r="C88" s="192" t="s">
        <v>285</v>
      </c>
      <c r="D88" s="192" t="s">
        <v>286</v>
      </c>
      <c r="E88" s="192" t="s">
        <v>182</v>
      </c>
      <c r="F88" s="192"/>
      <c r="G88" s="192"/>
      <c r="H88" s="192" t="s">
        <v>198</v>
      </c>
    </row>
    <row r="89" customFormat="false" ht="30" hidden="false" customHeight="true" outlineLevel="0" collapsed="false">
      <c r="A89" s="202" t="n">
        <v>1</v>
      </c>
      <c r="B89" s="203" t="s">
        <v>301</v>
      </c>
      <c r="C89" s="214" t="s">
        <v>302</v>
      </c>
      <c r="D89" s="214" t="s">
        <v>303</v>
      </c>
      <c r="E89" s="206" t="n">
        <f aca="false">CEILING((H65+H73+H79+H85)*0.1, 0.1)</f>
        <v>101.4</v>
      </c>
      <c r="F89" s="207" t="s">
        <v>287</v>
      </c>
      <c r="G89" s="207" t="s">
        <v>287</v>
      </c>
      <c r="H89" s="209" t="n">
        <f aca="false">SUM(E89:G89)</f>
        <v>101.4</v>
      </c>
    </row>
    <row r="90" customFormat="false" ht="21.75" hidden="false" customHeight="true" outlineLevel="0" collapsed="false">
      <c r="A90" s="199"/>
      <c r="B90" s="200" t="s">
        <v>282</v>
      </c>
      <c r="C90" s="200"/>
      <c r="D90" s="200"/>
      <c r="E90" s="201" t="n">
        <f aca="false">SUM(E89)</f>
        <v>101.4</v>
      </c>
      <c r="F90" s="201"/>
      <c r="G90" s="201"/>
      <c r="H90" s="201" t="n">
        <f aca="false">SUM(E90:G90)</f>
        <v>101.4</v>
      </c>
    </row>
    <row r="92" customFormat="false" ht="21.75" hidden="false" customHeight="true" outlineLevel="0" collapsed="false">
      <c r="A92" s="189" t="s">
        <v>304</v>
      </c>
      <c r="B92" s="189"/>
      <c r="C92" s="189"/>
      <c r="D92" s="189"/>
      <c r="E92" s="189"/>
      <c r="F92" s="189"/>
      <c r="G92" s="189"/>
      <c r="H92" s="189"/>
    </row>
    <row r="93" customFormat="false" ht="30" hidden="false" customHeight="true" outlineLevel="0" collapsed="false">
      <c r="A93" s="192" t="s">
        <v>284</v>
      </c>
      <c r="B93" s="192" t="s">
        <v>32</v>
      </c>
      <c r="C93" s="192" t="s">
        <v>285</v>
      </c>
      <c r="D93" s="192" t="s">
        <v>286</v>
      </c>
      <c r="E93" s="192" t="s">
        <v>182</v>
      </c>
      <c r="F93" s="192"/>
      <c r="G93" s="192"/>
      <c r="H93" s="192" t="s">
        <v>198</v>
      </c>
    </row>
    <row r="94" customFormat="false" ht="30" hidden="false" customHeight="true" outlineLevel="0" collapsed="false">
      <c r="A94" s="202" t="n">
        <v>1</v>
      </c>
      <c r="B94" s="211" t="s">
        <v>304</v>
      </c>
      <c r="C94" s="214" t="s">
        <v>305</v>
      </c>
      <c r="D94" s="214" t="s">
        <v>303</v>
      </c>
      <c r="E94" s="206" t="n">
        <f aca="false">CEILING((H65+H73+H79+H85)*0.1, 0.1)</f>
        <v>101.4</v>
      </c>
      <c r="F94" s="207" t="s">
        <v>287</v>
      </c>
      <c r="G94" s="207" t="s">
        <v>287</v>
      </c>
      <c r="H94" s="209" t="n">
        <f aca="false">SUM(E94:G94)</f>
        <v>101.4</v>
      </c>
    </row>
    <row r="95" customFormat="false" ht="21.75" hidden="false" customHeight="true" outlineLevel="0" collapsed="false">
      <c r="A95" s="199"/>
      <c r="B95" s="200" t="s">
        <v>282</v>
      </c>
      <c r="C95" s="200"/>
      <c r="D95" s="200"/>
      <c r="E95" s="201" t="n">
        <f aca="false">SUM(E94)</f>
        <v>101.4</v>
      </c>
      <c r="F95" s="201"/>
      <c r="G95" s="201"/>
      <c r="H95" s="201" t="n">
        <f aca="false">SUM(E95:G95)</f>
        <v>101.4</v>
      </c>
    </row>
    <row r="98" customFormat="false" ht="21.75" hidden="false" customHeight="true" outlineLevel="0" collapsed="false">
      <c r="F98" s="215" t="s">
        <v>180</v>
      </c>
      <c r="G98" s="215"/>
      <c r="H98" s="215" t="s">
        <v>306</v>
      </c>
    </row>
    <row r="99" customFormat="false" ht="21.75" hidden="false" customHeight="true" outlineLevel="0" collapsed="false">
      <c r="F99" s="216" t="s">
        <v>193</v>
      </c>
      <c r="G99" s="216"/>
      <c r="H99" s="217" t="n">
        <f aca="false">ROUND(H65/140,2)</f>
        <v>6.64</v>
      </c>
    </row>
    <row r="100" customFormat="false" ht="21.75" hidden="false" customHeight="true" outlineLevel="0" collapsed="false">
      <c r="F100" s="216" t="s">
        <v>283</v>
      </c>
      <c r="G100" s="216"/>
      <c r="H100" s="217" t="n">
        <f aca="false">ROUND(H73/140,2)</f>
        <v>0</v>
      </c>
    </row>
    <row r="101" customFormat="false" ht="21.75" hidden="false" customHeight="true" outlineLevel="0" collapsed="false">
      <c r="F101" s="216" t="s">
        <v>288</v>
      </c>
      <c r="G101" s="216"/>
      <c r="H101" s="217" t="n">
        <f aca="false">ROUND(H79/140,2)</f>
        <v>0.25</v>
      </c>
    </row>
    <row r="102" customFormat="false" ht="21.75" hidden="false" customHeight="true" outlineLevel="0" collapsed="false">
      <c r="F102" s="216" t="s">
        <v>294</v>
      </c>
      <c r="G102" s="216"/>
      <c r="H102" s="217" t="n">
        <f aca="false">ROUND(H85/140,2)</f>
        <v>0.34</v>
      </c>
    </row>
    <row r="103" customFormat="false" ht="21.75" hidden="false" customHeight="true" outlineLevel="0" collapsed="false">
      <c r="F103" s="218" t="s">
        <v>307</v>
      </c>
      <c r="G103" s="218"/>
      <c r="H103" s="217" t="n">
        <f aca="false">ROUND(H90/140,2)</f>
        <v>0.72</v>
      </c>
    </row>
    <row r="104" customFormat="false" ht="21.75" hidden="false" customHeight="true" outlineLevel="0" collapsed="false">
      <c r="F104" s="216" t="s">
        <v>304</v>
      </c>
      <c r="G104" s="216"/>
      <c r="H104" s="217" t="n">
        <f aca="false">ROUND(H95/140,2)</f>
        <v>0.72</v>
      </c>
    </row>
    <row r="105" customFormat="false" ht="21.75" hidden="false" customHeight="true" outlineLevel="0" collapsed="false">
      <c r="F105" s="219" t="s">
        <v>185</v>
      </c>
      <c r="G105" s="219"/>
      <c r="H105" s="212" t="n">
        <f aca="false">SUM(H99:H104)</f>
        <v>8.67</v>
      </c>
    </row>
  </sheetData>
  <mergeCells count="22">
    <mergeCell ref="A8:H8"/>
    <mergeCell ref="A9:H9"/>
    <mergeCell ref="A11:H11"/>
    <mergeCell ref="B65:D65"/>
    <mergeCell ref="A67:H67"/>
    <mergeCell ref="B73:D73"/>
    <mergeCell ref="A75:H75"/>
    <mergeCell ref="B79:D79"/>
    <mergeCell ref="A81:H81"/>
    <mergeCell ref="B85:D85"/>
    <mergeCell ref="A87:H87"/>
    <mergeCell ref="B90:D90"/>
    <mergeCell ref="A92:H92"/>
    <mergeCell ref="B95:D95"/>
    <mergeCell ref="F98:G98"/>
    <mergeCell ref="F99:G99"/>
    <mergeCell ref="F100:G100"/>
    <mergeCell ref="F101:G101"/>
    <mergeCell ref="F102:G102"/>
    <mergeCell ref="F103:G103"/>
    <mergeCell ref="F104:G104"/>
    <mergeCell ref="F105:G105"/>
  </mergeCells>
  <printOptions headings="false" gridLines="false" gridLinesSet="true" horizontalCentered="true" verticalCentered="false"/>
  <pageMargins left="0.236111111111111" right="0.236111111111111" top="0.236111111111111" bottom="0.236111111111111" header="0.511811023622047" footer="0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&amp;RPage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2024-02-28T07:35:01Z</dcterms:created>
  <dc:creator>openpyxl</dc:creator>
  <dc:description/>
  <dc:language>en-US</dc:language>
  <cp:lastModifiedBy>Ta Van Huy</cp:lastModifiedBy>
  <dcterms:modified xsi:type="dcterms:W3CDTF">2026-06-11T10:41:48Z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0x01010038FB671B067E7F4C8859B3FF73D3A504</vt:lpwstr>
  </property>
  <property fmtid="{D5CDD505-2E9C-101B-9397-08002B2CF9AE}" pid="4" name="MediaServiceImageTags">
    <vt:lpwstr/>
  </property>
  <property fmtid="{D5CDD505-2E9C-101B-9397-08002B2CF9AE}" pid="5" name="Order">
    <vt:r8>1700</vt:r8>
  </property>
  <property fmtid="{D5CDD505-2E9C-101B-9397-08002B2CF9AE}" pid="6" name="TriggerFlowInfo">
    <vt:lpwstr/>
  </property>
  <property fmtid="{D5CDD505-2E9C-101B-9397-08002B2CF9AE}" pid="7" name="_ExtendedDescription">
    <vt:lpwstr/>
  </property>
</Properties>
</file>